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0BBC9F39-B6C2-4F1B-A631-E53ED72B7175}" xr6:coauthVersionLast="47" xr6:coauthVersionMax="47" xr10:uidLastSave="{00000000-0000-0000-0000-000000000000}"/>
  <bookViews>
    <workbookView xWindow="-108" yWindow="-108" windowWidth="23256" windowHeight="12456" activeTab="2" xr2:uid="{24C48BAD-BD38-4A02-AD9C-830CD36AC700}"/>
  </bookViews>
  <sheets>
    <sheet name="Ipl Auction 2026" sheetId="1" r:id="rId1"/>
    <sheet name="Pivot Tables" sheetId="2" r:id="rId2"/>
    <sheet name="Dashboard" sheetId="3" r:id="rId3"/>
  </sheets>
  <definedNames>
    <definedName name="Slicer_Capped_UnCapped">#N/A</definedName>
    <definedName name="Slicer_Nationality">#N/A</definedName>
    <definedName name="Slicer_TeamNam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9" i="3" l="1"/>
  <c r="O14" i="3"/>
  <c r="K14" i="3"/>
  <c r="G14" i="3"/>
  <c r="O9" i="3"/>
  <c r="K9" i="3"/>
  <c r="G9" i="3"/>
</calcChain>
</file>

<file path=xl/sharedStrings.xml><?xml version="1.0" encoding="utf-8"?>
<sst xmlns="http://schemas.openxmlformats.org/spreadsheetml/2006/main" count="462" uniqueCount="133">
  <si>
    <t>Name</t>
  </si>
  <si>
    <t>Nationality</t>
  </si>
  <si>
    <t>BasePrices in Rs</t>
  </si>
  <si>
    <t>Winning Bid in Rs</t>
  </si>
  <si>
    <t>TeamName</t>
  </si>
  <si>
    <t>Capped/UnCapped</t>
  </si>
  <si>
    <t>Kartik Sharma</t>
  </si>
  <si>
    <t>Indian</t>
  </si>
  <si>
    <t xml:space="preserve"> Chennai Super Kings</t>
  </si>
  <si>
    <t>Uncapped</t>
  </si>
  <si>
    <t>Prashant Veer</t>
  </si>
  <si>
    <t>Rahul Chahar</t>
  </si>
  <si>
    <t>Capped</t>
  </si>
  <si>
    <t xml:space="preserve">Matt Henry  </t>
  </si>
  <si>
    <t>Overseas</t>
  </si>
  <si>
    <t xml:space="preserve">Akeal Hosein  </t>
  </si>
  <si>
    <t xml:space="preserve">Matthew Short  </t>
  </si>
  <si>
    <t xml:space="preserve">Zak Foulkes  </t>
  </si>
  <si>
    <t>Sarfaraz Khan</t>
  </si>
  <si>
    <t>Aman Khan</t>
  </si>
  <si>
    <t>Auqib Dar</t>
  </si>
  <si>
    <t xml:space="preserve"> Delhi Capitals</t>
  </si>
  <si>
    <t xml:space="preserve">Pathum Nissanka  </t>
  </si>
  <si>
    <t xml:space="preserve">Kyle Jamieson  </t>
  </si>
  <si>
    <t xml:space="preserve">Lungisani Ngidi  </t>
  </si>
  <si>
    <t xml:space="preserve">Ben Duckett  </t>
  </si>
  <si>
    <t xml:space="preserve">David Miller  </t>
  </si>
  <si>
    <t>Prithvi Shaw</t>
  </si>
  <si>
    <t>Sahil Parakh</t>
  </si>
  <si>
    <t xml:space="preserve">Jason Holder  </t>
  </si>
  <si>
    <t xml:space="preserve"> Gujarat Titans</t>
  </si>
  <si>
    <t xml:space="preserve">Tom Banton  </t>
  </si>
  <si>
    <t>Ashok Sharma</t>
  </si>
  <si>
    <t xml:space="preserve">Luke Wood  </t>
  </si>
  <si>
    <t>Prithviraj Yarra</t>
  </si>
  <si>
    <t xml:space="preserve">Cameron Green  </t>
  </si>
  <si>
    <t xml:space="preserve"> Kolkata Knight Riders</t>
  </si>
  <si>
    <t xml:space="preserve">Matheesha Pathirana  </t>
  </si>
  <si>
    <t xml:space="preserve">Mustafizur Rahman  </t>
  </si>
  <si>
    <t>Tejasvi Singh</t>
  </si>
  <si>
    <t xml:space="preserve">Rachin Ravindra  </t>
  </si>
  <si>
    <t xml:space="preserve">Finn Allen  </t>
  </si>
  <si>
    <t xml:space="preserve">Tim Seifert  </t>
  </si>
  <si>
    <t>Akash Deep</t>
  </si>
  <si>
    <t>Rahul Tripathi</t>
  </si>
  <si>
    <t>Daksh Kamra</t>
  </si>
  <si>
    <t>Sarthak Ranjan</t>
  </si>
  <si>
    <t>Prashant Solanki</t>
  </si>
  <si>
    <t>Kartik Tyagi</t>
  </si>
  <si>
    <t xml:space="preserve">Josh Inglis  </t>
  </si>
  <si>
    <t xml:space="preserve"> Lucknow Super Giants</t>
  </si>
  <si>
    <t>Mukul Choudhary</t>
  </si>
  <si>
    <t>Akshat Raghuwanshi</t>
  </si>
  <si>
    <t xml:space="preserve">Anrich Nortje  </t>
  </si>
  <si>
    <t xml:space="preserve">Wanindu Hasaranga  </t>
  </si>
  <si>
    <t>Naman Tiwari</t>
  </si>
  <si>
    <t xml:space="preserve">Quinton De Kock  </t>
  </si>
  <si>
    <t xml:space="preserve"> Mumbai Indians</t>
  </si>
  <si>
    <t>Mayank Rawat</t>
  </si>
  <si>
    <t>Atharva Ankolekar</t>
  </si>
  <si>
    <t>Mohammad Izhar</t>
  </si>
  <si>
    <t>Danish Malewar</t>
  </si>
  <si>
    <t xml:space="preserve">Ben Dwarshuis  </t>
  </si>
  <si>
    <t xml:space="preserve"> Punjab Kings</t>
  </si>
  <si>
    <t xml:space="preserve">Cooper Connolly  </t>
  </si>
  <si>
    <t>Vishal Nishad</t>
  </si>
  <si>
    <t>Pravin Dubey</t>
  </si>
  <si>
    <t>Ravi Bishnoi</t>
  </si>
  <si>
    <t xml:space="preserve"> Rajasthan Royals</t>
  </si>
  <si>
    <t xml:space="preserve">Adam Milne  </t>
  </si>
  <si>
    <t>Ravi Singh</t>
  </si>
  <si>
    <t>Sushant Mishra</t>
  </si>
  <si>
    <t>Kuldeep Sen</t>
  </si>
  <si>
    <t>Brijesh Sharma</t>
  </si>
  <si>
    <t>Aman Rao Perala</t>
  </si>
  <si>
    <t>Vignesh Puthur</t>
  </si>
  <si>
    <t>Yash Raj Punja</t>
  </si>
  <si>
    <t>Venkatesh Iyer</t>
  </si>
  <si>
    <t xml:space="preserve"> Royal Challengers Bengaluru</t>
  </si>
  <si>
    <t>Mangesh Yadav</t>
  </si>
  <si>
    <t xml:space="preserve">Jacob Duffy  </t>
  </si>
  <si>
    <t xml:space="preserve">Jordan Cox  </t>
  </si>
  <si>
    <t>Kanishk Chouhan</t>
  </si>
  <si>
    <t>Vihaan Malhotra</t>
  </si>
  <si>
    <t>Vicky Ostwal</t>
  </si>
  <si>
    <t>Satvik Deswal</t>
  </si>
  <si>
    <t xml:space="preserve">Liam Livingstone  </t>
  </si>
  <si>
    <t xml:space="preserve"> Sunrisers Hyderabad</t>
  </si>
  <si>
    <t xml:space="preserve">Jack Edwards  </t>
  </si>
  <si>
    <t>Salil Arora</t>
  </si>
  <si>
    <t>Shivam Mavi</t>
  </si>
  <si>
    <t>Krains Fuletra</t>
  </si>
  <si>
    <t>Praful Hinge</t>
  </si>
  <si>
    <t>Amit Kumar</t>
  </si>
  <si>
    <t>Onkar Tarmale</t>
  </si>
  <si>
    <t>Sakib Hussain</t>
  </si>
  <si>
    <t>Shivang Kumar</t>
  </si>
  <si>
    <t>SL.No</t>
  </si>
  <si>
    <t>Sum of Winning Bid in Rs</t>
  </si>
  <si>
    <t>Row Labels</t>
  </si>
  <si>
    <t>Grand Total</t>
  </si>
  <si>
    <t>Column Labels</t>
  </si>
  <si>
    <t xml:space="preserve">Top Expensive Players </t>
  </si>
  <si>
    <t>Count of Name</t>
  </si>
  <si>
    <t>Total Spend by teams</t>
  </si>
  <si>
    <t>Capped vs Uncapped by teams</t>
  </si>
  <si>
    <t>Indian Vs Overseas Players by Teams</t>
  </si>
  <si>
    <t>Sum of BasePrices in Rs</t>
  </si>
  <si>
    <t>Total Sum of BasePrices in Rs</t>
  </si>
  <si>
    <t>Total Sum of Winning Bid in Rs</t>
  </si>
  <si>
    <t xml:space="preserve">Total Players </t>
  </si>
  <si>
    <t xml:space="preserve">Total Indian Players </t>
  </si>
  <si>
    <t>Total Overseas Players</t>
  </si>
  <si>
    <t>Total Spend On Indian Players</t>
  </si>
  <si>
    <t xml:space="preserve">Total Spend on Overseas Players </t>
  </si>
  <si>
    <t>Base Price</t>
  </si>
  <si>
    <t>Total Base Price</t>
  </si>
  <si>
    <t>Total Winning Price</t>
  </si>
  <si>
    <t>Winning Price</t>
  </si>
  <si>
    <t>Insights</t>
  </si>
  <si>
    <t>.</t>
  </si>
  <si>
    <t xml:space="preserve">Total Expenditure on Players </t>
  </si>
  <si>
    <t>1.Total auction spending is ₹2.15 Crores+, showing high investment by teams</t>
  </si>
  <si>
    <t>2.Cameron Green is the most expensive player with ₹25.2 Crores.</t>
  </si>
  <si>
    <t>3.Kolkata Knight Riders spent the highest amount among all teams.</t>
  </si>
  <si>
    <t>4.Mumbai Indians spent the least amount in the auction.</t>
  </si>
  <si>
    <t>5.Overseas players received higher total spending compared to Indian players.</t>
  </si>
  <si>
    <t>6.Uncapped players dominate in number, but capped players attract higher average bids</t>
  </si>
  <si>
    <t>7.Top players contribute a major portion of total auction spending.</t>
  </si>
  <si>
    <t>8.Some teams significantly exceeded base prices, indicating competitive bidding.</t>
  </si>
  <si>
    <t>9.Indian players (48) outnumber overseas players (29) in the auction.</t>
  </si>
  <si>
    <t>10. Sunrisers Hyderabad have the highest number of uncapped players (8), highlighting their focus on emerging talent.</t>
  </si>
  <si>
    <t>Average Players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</si>
</sst>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0"/>
      <name val="Calibri"/>
      <family val="2"/>
      <scheme val="minor"/>
    </font>
    <font>
      <b/>
      <sz val="14"/>
      <color theme="0"/>
      <name val="Calibri"/>
      <family val="2"/>
      <scheme val="minor"/>
    </font>
    <font>
      <b/>
      <sz val="20"/>
      <color theme="4" tint="-0.499984740745262"/>
      <name val="Arial Black"/>
      <family val="2"/>
    </font>
    <font>
      <sz val="11"/>
      <color theme="4" tint="-0.499984740745262"/>
      <name val="Calibri"/>
      <family val="2"/>
      <scheme val="minor"/>
    </font>
    <font>
      <b/>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49998474074526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3" fontId="0" fillId="0" borderId="0" xfId="0" applyNumberFormat="1"/>
    <xf numFmtId="0" fontId="16" fillId="0" borderId="0" xfId="0" applyFont="1"/>
    <xf numFmtId="0" fontId="0" fillId="0" borderId="0" xfId="0" pivotButton="1"/>
    <xf numFmtId="0" fontId="0" fillId="0" borderId="0" xfId="0" applyAlignment="1">
      <alignment horizontal="left"/>
    </xf>
    <xf numFmtId="164" fontId="0" fillId="0" borderId="0" xfId="0" applyNumberFormat="1"/>
    <xf numFmtId="0" fontId="18" fillId="33" borderId="0" xfId="18" applyFont="1" applyFill="1" applyAlignment="1">
      <alignment vertical="center"/>
    </xf>
    <xf numFmtId="0" fontId="0" fillId="33" borderId="0" xfId="0" applyFill="1"/>
    <xf numFmtId="164" fontId="18" fillId="9" borderId="13" xfId="18" applyNumberFormat="1" applyFont="1" applyBorder="1" applyAlignment="1">
      <alignment horizontal="center" vertical="center"/>
    </xf>
    <xf numFmtId="164" fontId="18" fillId="9" borderId="0" xfId="18" applyNumberFormat="1" applyFont="1" applyBorder="1" applyAlignment="1">
      <alignment horizontal="center" vertical="center"/>
    </xf>
    <xf numFmtId="164" fontId="18" fillId="9" borderId="14" xfId="18" applyNumberFormat="1" applyFont="1" applyBorder="1" applyAlignment="1">
      <alignment horizontal="center" vertical="center"/>
    </xf>
    <xf numFmtId="164" fontId="18" fillId="9" borderId="15" xfId="18" applyNumberFormat="1" applyFont="1" applyBorder="1" applyAlignment="1">
      <alignment horizontal="center" vertical="center"/>
    </xf>
    <xf numFmtId="164" fontId="18" fillId="9" borderId="16" xfId="18" applyNumberFormat="1" applyFont="1" applyBorder="1" applyAlignment="1">
      <alignment horizontal="center" vertical="center"/>
    </xf>
    <xf numFmtId="164" fontId="18" fillId="9" borderId="17" xfId="18" applyNumberFormat="1" applyFont="1" applyBorder="1" applyAlignment="1">
      <alignment horizontal="center" vertical="center"/>
    </xf>
    <xf numFmtId="0" fontId="20" fillId="0" borderId="0" xfId="0" applyFont="1" applyAlignment="1">
      <alignment horizontal="center"/>
    </xf>
    <xf numFmtId="0" fontId="21" fillId="0" borderId="0" xfId="0" applyFont="1" applyAlignment="1">
      <alignment horizontal="center"/>
    </xf>
    <xf numFmtId="0" fontId="0" fillId="0" borderId="0" xfId="0" applyAlignment="1">
      <alignment horizontal="center"/>
    </xf>
    <xf numFmtId="0" fontId="19" fillId="9" borderId="10" xfId="18" applyFont="1" applyBorder="1" applyAlignment="1">
      <alignment horizontal="center" vertical="center"/>
    </xf>
    <xf numFmtId="0" fontId="19" fillId="9" borderId="11" xfId="18" applyFont="1" applyBorder="1" applyAlignment="1">
      <alignment horizontal="center" vertical="center"/>
    </xf>
    <xf numFmtId="0" fontId="19" fillId="9" borderId="12" xfId="18" applyFont="1" applyBorder="1" applyAlignment="1">
      <alignment horizontal="center" vertical="center"/>
    </xf>
    <xf numFmtId="0" fontId="19" fillId="9" borderId="13" xfId="18" applyFont="1" applyBorder="1" applyAlignment="1">
      <alignment horizontal="center" vertical="center"/>
    </xf>
    <xf numFmtId="0" fontId="19" fillId="9" borderId="0" xfId="18" applyFont="1" applyBorder="1" applyAlignment="1">
      <alignment horizontal="center" vertical="center"/>
    </xf>
    <xf numFmtId="0" fontId="19" fillId="9" borderId="14" xfId="18" applyFont="1" applyBorder="1" applyAlignment="1">
      <alignment horizontal="center" vertical="center"/>
    </xf>
    <xf numFmtId="0" fontId="18" fillId="9" borderId="13" xfId="18" applyFont="1" applyBorder="1" applyAlignment="1">
      <alignment horizontal="center" vertical="center"/>
    </xf>
    <xf numFmtId="0" fontId="18" fillId="9" borderId="0" xfId="18" applyFont="1" applyBorder="1" applyAlignment="1">
      <alignment horizontal="center" vertical="center"/>
    </xf>
    <xf numFmtId="0" fontId="18" fillId="9" borderId="14" xfId="18" applyFont="1" applyBorder="1" applyAlignment="1">
      <alignment horizontal="center" vertical="center"/>
    </xf>
    <xf numFmtId="0" fontId="18" fillId="9" borderId="15" xfId="18" applyFont="1" applyBorder="1" applyAlignment="1">
      <alignment horizontal="center" vertical="center"/>
    </xf>
    <xf numFmtId="0" fontId="18" fillId="9" borderId="16" xfId="18" applyFont="1" applyBorder="1" applyAlignment="1">
      <alignment horizontal="center" vertical="center"/>
    </xf>
    <xf numFmtId="0" fontId="18" fillId="9" borderId="17" xfId="18" applyFont="1" applyBorder="1" applyAlignment="1">
      <alignment horizontal="center" vertical="center"/>
    </xf>
    <xf numFmtId="0" fontId="19" fillId="34" borderId="13" xfId="0" applyFont="1" applyFill="1" applyBorder="1" applyAlignment="1">
      <alignment horizontal="left" vertical="center"/>
    </xf>
    <xf numFmtId="0" fontId="19" fillId="34" borderId="0" xfId="0" applyFont="1" applyFill="1" applyBorder="1" applyAlignment="1">
      <alignment horizontal="left" vertical="center"/>
    </xf>
    <xf numFmtId="0" fontId="22" fillId="34" borderId="13" xfId="0" applyFont="1" applyFill="1" applyBorder="1" applyAlignment="1">
      <alignment horizontal="left" vertical="center" wrapText="1"/>
    </xf>
    <xf numFmtId="0" fontId="22" fillId="34" borderId="0" xfId="0" applyFont="1" applyFill="1" applyBorder="1"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[IPL_Auction_2026_.xlsx]Pivot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a:t>
            </a:r>
            <a:r>
              <a:rPr lang="en-IN" b="1" baseline="0"/>
              <a:t> Expensive Players</a:t>
            </a:r>
            <a:endParaRPr lang="en-IN" b="1"/>
          </a:p>
        </c:rich>
      </c:tx>
      <c:layout>
        <c:manualLayout>
          <c:xMode val="edge"/>
          <c:yMode val="edge"/>
          <c:x val="0.31602077865266848"/>
          <c:y val="8.238553514144066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60870516185478"/>
          <c:y val="0.13786818314377369"/>
          <c:w val="0.5938357392825897"/>
          <c:h val="0.40290828229804609"/>
        </c:manualLayout>
      </c:layout>
      <c:barChart>
        <c:barDir val="col"/>
        <c:grouping val="clustered"/>
        <c:varyColors val="0"/>
        <c:ser>
          <c:idx val="0"/>
          <c:order val="0"/>
          <c:tx>
            <c:strRef>
              <c:f>'Pivot Tables'!$B$1:$B$2</c:f>
              <c:strCache>
                <c:ptCount val="1"/>
                <c:pt idx="0">
                  <c:v>Indian</c:v>
                </c:pt>
              </c:strCache>
            </c:strRef>
          </c:tx>
          <c:spPr>
            <a:solidFill>
              <a:schemeClr val="accent1"/>
            </a:solidFill>
            <a:ln>
              <a:noFill/>
            </a:ln>
            <a:effectLst/>
          </c:spPr>
          <c:invertIfNegative val="0"/>
          <c:cat>
            <c:strRef>
              <c:f>'Pivot Tables'!$A$3:$A$14</c:f>
              <c:strCache>
                <c:ptCount val="11"/>
                <c:pt idx="0">
                  <c:v>Cameron Green  </c:v>
                </c:pt>
                <c:pt idx="1">
                  <c:v>Matheesha Pathirana  </c:v>
                </c:pt>
                <c:pt idx="2">
                  <c:v>Prashant Veer</c:v>
                </c:pt>
                <c:pt idx="3">
                  <c:v>Kartik Sharma</c:v>
                </c:pt>
                <c:pt idx="4">
                  <c:v>Liam Livingstone  </c:v>
                </c:pt>
                <c:pt idx="5">
                  <c:v>Mustafizur Rahman  </c:v>
                </c:pt>
                <c:pt idx="6">
                  <c:v>Josh Inglis  </c:v>
                </c:pt>
                <c:pt idx="7">
                  <c:v>Auqib Dar</c:v>
                </c:pt>
                <c:pt idx="8">
                  <c:v>Ravi Bishnoi</c:v>
                </c:pt>
                <c:pt idx="9">
                  <c:v>Venkatesh Iyer</c:v>
                </c:pt>
                <c:pt idx="10">
                  <c:v>Jason Holder  </c:v>
                </c:pt>
              </c:strCache>
            </c:strRef>
          </c:cat>
          <c:val>
            <c:numRef>
              <c:f>'Pivot Tables'!$B$3:$B$14</c:f>
              <c:numCache>
                <c:formatCode>"₹"\ #,##0</c:formatCode>
                <c:ptCount val="11"/>
                <c:pt idx="2">
                  <c:v>142000000</c:v>
                </c:pt>
                <c:pt idx="3">
                  <c:v>142000000</c:v>
                </c:pt>
                <c:pt idx="7">
                  <c:v>84000000</c:v>
                </c:pt>
                <c:pt idx="8">
                  <c:v>72000000</c:v>
                </c:pt>
                <c:pt idx="9">
                  <c:v>70000000</c:v>
                </c:pt>
              </c:numCache>
            </c:numRef>
          </c:val>
          <c:extLst>
            <c:ext xmlns:c16="http://schemas.microsoft.com/office/drawing/2014/chart" uri="{C3380CC4-5D6E-409C-BE32-E72D297353CC}">
              <c16:uniqueId val="{00000000-2A3F-416E-B1AF-78FCD24A7851}"/>
            </c:ext>
          </c:extLst>
        </c:ser>
        <c:ser>
          <c:idx val="1"/>
          <c:order val="1"/>
          <c:tx>
            <c:strRef>
              <c:f>'Pivot Tables'!$C$1:$C$2</c:f>
              <c:strCache>
                <c:ptCount val="1"/>
                <c:pt idx="0">
                  <c:v>Overseas</c:v>
                </c:pt>
              </c:strCache>
            </c:strRef>
          </c:tx>
          <c:spPr>
            <a:solidFill>
              <a:schemeClr val="accent2"/>
            </a:solidFill>
            <a:ln>
              <a:noFill/>
            </a:ln>
            <a:effectLst/>
          </c:spPr>
          <c:invertIfNegative val="0"/>
          <c:cat>
            <c:strRef>
              <c:f>'Pivot Tables'!$A$3:$A$14</c:f>
              <c:strCache>
                <c:ptCount val="11"/>
                <c:pt idx="0">
                  <c:v>Cameron Green  </c:v>
                </c:pt>
                <c:pt idx="1">
                  <c:v>Matheesha Pathirana  </c:v>
                </c:pt>
                <c:pt idx="2">
                  <c:v>Prashant Veer</c:v>
                </c:pt>
                <c:pt idx="3">
                  <c:v>Kartik Sharma</c:v>
                </c:pt>
                <c:pt idx="4">
                  <c:v>Liam Livingstone  </c:v>
                </c:pt>
                <c:pt idx="5">
                  <c:v>Mustafizur Rahman  </c:v>
                </c:pt>
                <c:pt idx="6">
                  <c:v>Josh Inglis  </c:v>
                </c:pt>
                <c:pt idx="7">
                  <c:v>Auqib Dar</c:v>
                </c:pt>
                <c:pt idx="8">
                  <c:v>Ravi Bishnoi</c:v>
                </c:pt>
                <c:pt idx="9">
                  <c:v>Venkatesh Iyer</c:v>
                </c:pt>
                <c:pt idx="10">
                  <c:v>Jason Holder  </c:v>
                </c:pt>
              </c:strCache>
            </c:strRef>
          </c:cat>
          <c:val>
            <c:numRef>
              <c:f>'Pivot Tables'!$C$3:$C$14</c:f>
              <c:numCache>
                <c:formatCode>"₹"\ #,##0</c:formatCode>
                <c:ptCount val="11"/>
                <c:pt idx="0">
                  <c:v>252000000</c:v>
                </c:pt>
                <c:pt idx="1">
                  <c:v>180000000</c:v>
                </c:pt>
                <c:pt idx="4">
                  <c:v>130000000</c:v>
                </c:pt>
                <c:pt idx="5">
                  <c:v>92000000</c:v>
                </c:pt>
                <c:pt idx="6">
                  <c:v>86000000</c:v>
                </c:pt>
                <c:pt idx="10">
                  <c:v>70000000</c:v>
                </c:pt>
              </c:numCache>
            </c:numRef>
          </c:val>
          <c:extLst>
            <c:ext xmlns:c16="http://schemas.microsoft.com/office/drawing/2014/chart" uri="{C3380CC4-5D6E-409C-BE32-E72D297353CC}">
              <c16:uniqueId val="{00000004-2A3F-416E-B1AF-78FCD24A7851}"/>
            </c:ext>
          </c:extLst>
        </c:ser>
        <c:dLbls>
          <c:showLegendKey val="0"/>
          <c:showVal val="0"/>
          <c:showCatName val="0"/>
          <c:showSerName val="0"/>
          <c:showPercent val="0"/>
          <c:showBubbleSize val="0"/>
        </c:dLbls>
        <c:gapWidth val="219"/>
        <c:overlap val="-27"/>
        <c:axId val="1455096335"/>
        <c:axId val="1455085775"/>
      </c:barChart>
      <c:catAx>
        <c:axId val="145509633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085775"/>
        <c:crosses val="autoZero"/>
        <c:auto val="1"/>
        <c:lblAlgn val="ctr"/>
        <c:lblOffset val="100"/>
        <c:noMultiLvlLbl val="0"/>
      </c:catAx>
      <c:valAx>
        <c:axId val="145508577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c\r"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096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[IPL_Auction_2026_.xlsx]Pivot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a:t>
            </a:r>
            <a:r>
              <a:rPr lang="en-IN" b="1" baseline="0"/>
              <a:t> Expensies By Teams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16426071741029"/>
          <c:y val="0.26328484981044037"/>
          <c:w val="0.59661351706036747"/>
          <c:h val="0.31988298337707782"/>
        </c:manualLayout>
      </c:layout>
      <c:barChart>
        <c:barDir val="col"/>
        <c:grouping val="clustered"/>
        <c:varyColors val="0"/>
        <c:ser>
          <c:idx val="0"/>
          <c:order val="0"/>
          <c:tx>
            <c:strRef>
              <c:f>'Pivot Tables'!$G$1:$G$2</c:f>
              <c:strCache>
                <c:ptCount val="1"/>
                <c:pt idx="0">
                  <c:v>Indian</c:v>
                </c:pt>
              </c:strCache>
            </c:strRef>
          </c:tx>
          <c:spPr>
            <a:solidFill>
              <a:schemeClr val="accent1"/>
            </a:solidFill>
            <a:ln>
              <a:noFill/>
            </a:ln>
            <a:effectLst/>
          </c:spPr>
          <c:invertIfNegative val="0"/>
          <c:cat>
            <c:strRef>
              <c:f>'Pivot Tables'!$F$3:$F$13</c:f>
              <c:strCache>
                <c:ptCount val="10"/>
                <c:pt idx="0">
                  <c:v> Chennai Super Kings</c:v>
                </c:pt>
                <c:pt idx="1">
                  <c:v> Delhi Capitals</c:v>
                </c:pt>
                <c:pt idx="2">
                  <c:v> Gujarat Titans</c:v>
                </c:pt>
                <c:pt idx="3">
                  <c:v> Kolkata Knight Riders</c:v>
                </c:pt>
                <c:pt idx="4">
                  <c:v> Lucknow Super Giants</c:v>
                </c:pt>
                <c:pt idx="5">
                  <c:v> Mumbai Indians</c:v>
                </c:pt>
                <c:pt idx="6">
                  <c:v> Punjab Kings</c:v>
                </c:pt>
                <c:pt idx="7">
                  <c:v> Rajasthan Royals</c:v>
                </c:pt>
                <c:pt idx="8">
                  <c:v> Royal Challengers Bengaluru</c:v>
                </c:pt>
                <c:pt idx="9">
                  <c:v> Sunrisers Hyderabad</c:v>
                </c:pt>
              </c:strCache>
            </c:strRef>
          </c:cat>
          <c:val>
            <c:numRef>
              <c:f>'Pivot Tables'!$G$3:$G$13</c:f>
              <c:numCache>
                <c:formatCode>"₹"\ #,##0</c:formatCode>
                <c:ptCount val="10"/>
                <c:pt idx="0">
                  <c:v>347500000</c:v>
                </c:pt>
                <c:pt idx="1">
                  <c:v>94500000</c:v>
                </c:pt>
                <c:pt idx="2">
                  <c:v>12000000</c:v>
                </c:pt>
                <c:pt idx="3">
                  <c:v>59500000</c:v>
                </c:pt>
                <c:pt idx="4">
                  <c:v>58000000</c:v>
                </c:pt>
                <c:pt idx="5">
                  <c:v>12000000</c:v>
                </c:pt>
                <c:pt idx="6">
                  <c:v>6000000</c:v>
                </c:pt>
                <c:pt idx="7">
                  <c:v>110000000</c:v>
                </c:pt>
                <c:pt idx="8">
                  <c:v>134000000</c:v>
                </c:pt>
                <c:pt idx="9">
                  <c:v>40500000</c:v>
                </c:pt>
              </c:numCache>
            </c:numRef>
          </c:val>
          <c:extLst>
            <c:ext xmlns:c16="http://schemas.microsoft.com/office/drawing/2014/chart" uri="{C3380CC4-5D6E-409C-BE32-E72D297353CC}">
              <c16:uniqueId val="{00000000-7346-4B9D-AC9B-F48D493620B5}"/>
            </c:ext>
          </c:extLst>
        </c:ser>
        <c:ser>
          <c:idx val="1"/>
          <c:order val="1"/>
          <c:tx>
            <c:strRef>
              <c:f>'Pivot Tables'!$H$1:$H$2</c:f>
              <c:strCache>
                <c:ptCount val="1"/>
                <c:pt idx="0">
                  <c:v>Overseas</c:v>
                </c:pt>
              </c:strCache>
            </c:strRef>
          </c:tx>
          <c:spPr>
            <a:solidFill>
              <a:schemeClr val="accent2"/>
            </a:solidFill>
            <a:ln>
              <a:noFill/>
            </a:ln>
            <a:effectLst/>
          </c:spPr>
          <c:invertIfNegative val="0"/>
          <c:cat>
            <c:strRef>
              <c:f>'Pivot Tables'!$F$3:$F$13</c:f>
              <c:strCache>
                <c:ptCount val="10"/>
                <c:pt idx="0">
                  <c:v> Chennai Super Kings</c:v>
                </c:pt>
                <c:pt idx="1">
                  <c:v> Delhi Capitals</c:v>
                </c:pt>
                <c:pt idx="2">
                  <c:v> Gujarat Titans</c:v>
                </c:pt>
                <c:pt idx="3">
                  <c:v> Kolkata Knight Riders</c:v>
                </c:pt>
                <c:pt idx="4">
                  <c:v> Lucknow Super Giants</c:v>
                </c:pt>
                <c:pt idx="5">
                  <c:v> Mumbai Indians</c:v>
                </c:pt>
                <c:pt idx="6">
                  <c:v> Punjab Kings</c:v>
                </c:pt>
                <c:pt idx="7">
                  <c:v> Rajasthan Royals</c:v>
                </c:pt>
                <c:pt idx="8">
                  <c:v> Royal Challengers Bengaluru</c:v>
                </c:pt>
                <c:pt idx="9">
                  <c:v> Sunrisers Hyderabad</c:v>
                </c:pt>
              </c:strCache>
            </c:strRef>
          </c:cat>
          <c:val>
            <c:numRef>
              <c:f>'Pivot Tables'!$H$3:$H$13</c:f>
              <c:numCache>
                <c:formatCode>"₹"\ #,##0</c:formatCode>
                <c:ptCount val="10"/>
                <c:pt idx="0">
                  <c:v>62500000</c:v>
                </c:pt>
                <c:pt idx="1">
                  <c:v>120000000</c:v>
                </c:pt>
                <c:pt idx="2">
                  <c:v>97500000</c:v>
                </c:pt>
                <c:pt idx="3">
                  <c:v>579000000</c:v>
                </c:pt>
                <c:pt idx="4">
                  <c:v>126000000</c:v>
                </c:pt>
                <c:pt idx="5">
                  <c:v>10000000</c:v>
                </c:pt>
                <c:pt idx="6">
                  <c:v>74000000</c:v>
                </c:pt>
                <c:pt idx="7">
                  <c:v>24000000</c:v>
                </c:pt>
                <c:pt idx="8">
                  <c:v>27500000</c:v>
                </c:pt>
                <c:pt idx="9">
                  <c:v>160000000</c:v>
                </c:pt>
              </c:numCache>
            </c:numRef>
          </c:val>
          <c:extLst>
            <c:ext xmlns:c16="http://schemas.microsoft.com/office/drawing/2014/chart" uri="{C3380CC4-5D6E-409C-BE32-E72D297353CC}">
              <c16:uniqueId val="{00000004-7346-4B9D-AC9B-F48D493620B5}"/>
            </c:ext>
          </c:extLst>
        </c:ser>
        <c:dLbls>
          <c:showLegendKey val="0"/>
          <c:showVal val="0"/>
          <c:showCatName val="0"/>
          <c:showSerName val="0"/>
          <c:showPercent val="0"/>
          <c:showBubbleSize val="0"/>
        </c:dLbls>
        <c:gapWidth val="219"/>
        <c:overlap val="-27"/>
        <c:axId val="1259387039"/>
        <c:axId val="1259403839"/>
      </c:barChart>
      <c:catAx>
        <c:axId val="125938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403839"/>
        <c:crosses val="autoZero"/>
        <c:auto val="1"/>
        <c:lblAlgn val="ctr"/>
        <c:lblOffset val="100"/>
        <c:noMultiLvlLbl val="0"/>
      </c:catAx>
      <c:valAx>
        <c:axId val="1259403839"/>
        <c:scaling>
          <c:orientation val="minMax"/>
        </c:scaling>
        <c:delete val="0"/>
        <c:axPos val="l"/>
        <c:majorGridlines>
          <c:spPr>
            <a:ln w="9525" cap="flat" cmpd="sng" algn="ctr">
              <a:solidFill>
                <a:schemeClr val="tx1">
                  <a:lumMod val="15000"/>
                  <a:lumOff val="85000"/>
                </a:schemeClr>
              </a:solidFill>
              <a:round/>
            </a:ln>
            <a:effectLst/>
          </c:spPr>
        </c:majorGridlines>
        <c:numFmt formatCode="0.0\c\r"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387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[IPL_Auction_2026_.xlsx]Pivot 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a:t>Base</a:t>
            </a:r>
            <a:r>
              <a:rPr lang="en-IN" sz="1000" b="1" baseline="0"/>
              <a:t> Price vs Winning Price By Nationality</a:t>
            </a:r>
            <a:endParaRPr lang="en-IN" sz="1000" b="1"/>
          </a:p>
        </c:rich>
      </c:tx>
      <c:layout>
        <c:manualLayout>
          <c:xMode val="edge"/>
          <c:yMode val="edge"/>
          <c:x val="2.8222222222222215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06736657917761"/>
          <c:y val="0.11009040536599592"/>
          <c:w val="0.8371548556430447"/>
          <c:h val="0.47336614173228347"/>
        </c:manualLayout>
      </c:layout>
      <c:barChart>
        <c:barDir val="col"/>
        <c:grouping val="clustered"/>
        <c:varyColors val="0"/>
        <c:ser>
          <c:idx val="0"/>
          <c:order val="0"/>
          <c:tx>
            <c:strRef>
              <c:f>'Pivot Tables'!$B$30:$B$32</c:f>
              <c:strCache>
                <c:ptCount val="1"/>
                <c:pt idx="0">
                  <c:v>Indian - Base Price</c:v>
                </c:pt>
              </c:strCache>
            </c:strRef>
          </c:tx>
          <c:spPr>
            <a:solidFill>
              <a:schemeClr val="accent1"/>
            </a:solidFill>
            <a:ln>
              <a:noFill/>
            </a:ln>
            <a:effectLst/>
          </c:spPr>
          <c:invertIfNegative val="0"/>
          <c:cat>
            <c:strRef>
              <c:f>'Pivot Tables'!$A$33:$A$43</c:f>
              <c:strCache>
                <c:ptCount val="10"/>
                <c:pt idx="0">
                  <c:v> Chennai Super Kings</c:v>
                </c:pt>
                <c:pt idx="1">
                  <c:v> Delhi Capitals</c:v>
                </c:pt>
                <c:pt idx="2">
                  <c:v> Gujarat Titans</c:v>
                </c:pt>
                <c:pt idx="3">
                  <c:v> Kolkata Knight Riders</c:v>
                </c:pt>
                <c:pt idx="4">
                  <c:v> Lucknow Super Giants</c:v>
                </c:pt>
                <c:pt idx="5">
                  <c:v> Mumbai Indians</c:v>
                </c:pt>
                <c:pt idx="6">
                  <c:v> Punjab Kings</c:v>
                </c:pt>
                <c:pt idx="7">
                  <c:v> Rajasthan Royals</c:v>
                </c:pt>
                <c:pt idx="8">
                  <c:v> Royal Challengers Bengaluru</c:v>
                </c:pt>
                <c:pt idx="9">
                  <c:v> Sunrisers Hyderabad</c:v>
                </c:pt>
              </c:strCache>
            </c:strRef>
          </c:cat>
          <c:val>
            <c:numRef>
              <c:f>'Pivot Tables'!$B$33:$B$43</c:f>
              <c:numCache>
                <c:formatCode>#,##0</c:formatCode>
                <c:ptCount val="10"/>
                <c:pt idx="0">
                  <c:v>26500000</c:v>
                </c:pt>
                <c:pt idx="1">
                  <c:v>13500000</c:v>
                </c:pt>
                <c:pt idx="2">
                  <c:v>6000000</c:v>
                </c:pt>
                <c:pt idx="3">
                  <c:v>32500000</c:v>
                </c:pt>
                <c:pt idx="4">
                  <c:v>9000000</c:v>
                </c:pt>
                <c:pt idx="5">
                  <c:v>12000000</c:v>
                </c:pt>
                <c:pt idx="6">
                  <c:v>6000000</c:v>
                </c:pt>
                <c:pt idx="7">
                  <c:v>45500000</c:v>
                </c:pt>
                <c:pt idx="8">
                  <c:v>35000000</c:v>
                </c:pt>
                <c:pt idx="9">
                  <c:v>28500000</c:v>
                </c:pt>
              </c:numCache>
            </c:numRef>
          </c:val>
          <c:extLst>
            <c:ext xmlns:c16="http://schemas.microsoft.com/office/drawing/2014/chart" uri="{C3380CC4-5D6E-409C-BE32-E72D297353CC}">
              <c16:uniqueId val="{00000000-E310-4FF4-9B83-FBA143A5510A}"/>
            </c:ext>
          </c:extLst>
        </c:ser>
        <c:ser>
          <c:idx val="1"/>
          <c:order val="1"/>
          <c:tx>
            <c:strRef>
              <c:f>'Pivot Tables'!$C$30:$C$32</c:f>
              <c:strCache>
                <c:ptCount val="1"/>
                <c:pt idx="0">
                  <c:v>Indian - Winning Price</c:v>
                </c:pt>
              </c:strCache>
            </c:strRef>
          </c:tx>
          <c:spPr>
            <a:solidFill>
              <a:schemeClr val="accent2"/>
            </a:solidFill>
            <a:ln>
              <a:noFill/>
            </a:ln>
            <a:effectLst/>
          </c:spPr>
          <c:invertIfNegative val="0"/>
          <c:cat>
            <c:strRef>
              <c:f>'Pivot Tables'!$A$33:$A$43</c:f>
              <c:strCache>
                <c:ptCount val="10"/>
                <c:pt idx="0">
                  <c:v> Chennai Super Kings</c:v>
                </c:pt>
                <c:pt idx="1">
                  <c:v> Delhi Capitals</c:v>
                </c:pt>
                <c:pt idx="2">
                  <c:v> Gujarat Titans</c:v>
                </c:pt>
                <c:pt idx="3">
                  <c:v> Kolkata Knight Riders</c:v>
                </c:pt>
                <c:pt idx="4">
                  <c:v> Lucknow Super Giants</c:v>
                </c:pt>
                <c:pt idx="5">
                  <c:v> Mumbai Indians</c:v>
                </c:pt>
                <c:pt idx="6">
                  <c:v> Punjab Kings</c:v>
                </c:pt>
                <c:pt idx="7">
                  <c:v> Rajasthan Royals</c:v>
                </c:pt>
                <c:pt idx="8">
                  <c:v> Royal Challengers Bengaluru</c:v>
                </c:pt>
                <c:pt idx="9">
                  <c:v> Sunrisers Hyderabad</c:v>
                </c:pt>
              </c:strCache>
            </c:strRef>
          </c:cat>
          <c:val>
            <c:numRef>
              <c:f>'Pivot Tables'!$C$33:$C$43</c:f>
              <c:numCache>
                <c:formatCode>#,##0</c:formatCode>
                <c:ptCount val="10"/>
                <c:pt idx="0">
                  <c:v>347500000</c:v>
                </c:pt>
                <c:pt idx="1">
                  <c:v>94500000</c:v>
                </c:pt>
                <c:pt idx="2">
                  <c:v>12000000</c:v>
                </c:pt>
                <c:pt idx="3">
                  <c:v>59500000</c:v>
                </c:pt>
                <c:pt idx="4">
                  <c:v>58000000</c:v>
                </c:pt>
                <c:pt idx="5">
                  <c:v>12000000</c:v>
                </c:pt>
                <c:pt idx="6">
                  <c:v>6000000</c:v>
                </c:pt>
                <c:pt idx="7">
                  <c:v>110000000</c:v>
                </c:pt>
                <c:pt idx="8">
                  <c:v>134000000</c:v>
                </c:pt>
                <c:pt idx="9">
                  <c:v>40500000</c:v>
                </c:pt>
              </c:numCache>
            </c:numRef>
          </c:val>
          <c:extLst>
            <c:ext xmlns:c16="http://schemas.microsoft.com/office/drawing/2014/chart" uri="{C3380CC4-5D6E-409C-BE32-E72D297353CC}">
              <c16:uniqueId val="{00000002-E310-4FF4-9B83-FBA143A5510A}"/>
            </c:ext>
          </c:extLst>
        </c:ser>
        <c:ser>
          <c:idx val="2"/>
          <c:order val="2"/>
          <c:tx>
            <c:strRef>
              <c:f>'Pivot Tables'!$D$30:$D$32</c:f>
              <c:strCache>
                <c:ptCount val="1"/>
                <c:pt idx="0">
                  <c:v>Overseas - Base Price</c:v>
                </c:pt>
              </c:strCache>
            </c:strRef>
          </c:tx>
          <c:spPr>
            <a:solidFill>
              <a:schemeClr val="accent3"/>
            </a:solidFill>
            <a:ln>
              <a:noFill/>
            </a:ln>
            <a:effectLst/>
          </c:spPr>
          <c:invertIfNegative val="0"/>
          <c:cat>
            <c:strRef>
              <c:f>'Pivot Tables'!$A$33:$A$43</c:f>
              <c:strCache>
                <c:ptCount val="10"/>
                <c:pt idx="0">
                  <c:v> Chennai Super Kings</c:v>
                </c:pt>
                <c:pt idx="1">
                  <c:v> Delhi Capitals</c:v>
                </c:pt>
                <c:pt idx="2">
                  <c:v> Gujarat Titans</c:v>
                </c:pt>
                <c:pt idx="3">
                  <c:v> Kolkata Knight Riders</c:v>
                </c:pt>
                <c:pt idx="4">
                  <c:v> Lucknow Super Giants</c:v>
                </c:pt>
                <c:pt idx="5">
                  <c:v> Mumbai Indians</c:v>
                </c:pt>
                <c:pt idx="6">
                  <c:v> Punjab Kings</c:v>
                </c:pt>
                <c:pt idx="7">
                  <c:v> Rajasthan Royals</c:v>
                </c:pt>
                <c:pt idx="8">
                  <c:v> Royal Challengers Bengaluru</c:v>
                </c:pt>
                <c:pt idx="9">
                  <c:v> Sunrisers Hyderabad</c:v>
                </c:pt>
              </c:strCache>
            </c:strRef>
          </c:cat>
          <c:val>
            <c:numRef>
              <c:f>'Pivot Tables'!$D$33:$D$43</c:f>
              <c:numCache>
                <c:formatCode>#,##0</c:formatCode>
                <c:ptCount val="10"/>
                <c:pt idx="0">
                  <c:v>62500000</c:v>
                </c:pt>
                <c:pt idx="1">
                  <c:v>87500000</c:v>
                </c:pt>
                <c:pt idx="2">
                  <c:v>47500000</c:v>
                </c:pt>
                <c:pt idx="3">
                  <c:v>115000000</c:v>
                </c:pt>
                <c:pt idx="4">
                  <c:v>60000000</c:v>
                </c:pt>
                <c:pt idx="5">
                  <c:v>10000000</c:v>
                </c:pt>
                <c:pt idx="6">
                  <c:v>30000000</c:v>
                </c:pt>
                <c:pt idx="7">
                  <c:v>20000000</c:v>
                </c:pt>
                <c:pt idx="8">
                  <c:v>27500000</c:v>
                </c:pt>
                <c:pt idx="9">
                  <c:v>25000000</c:v>
                </c:pt>
              </c:numCache>
            </c:numRef>
          </c:val>
          <c:extLst>
            <c:ext xmlns:c16="http://schemas.microsoft.com/office/drawing/2014/chart" uri="{C3380CC4-5D6E-409C-BE32-E72D297353CC}">
              <c16:uniqueId val="{0000003B-E310-4FF4-9B83-FBA143A5510A}"/>
            </c:ext>
          </c:extLst>
        </c:ser>
        <c:ser>
          <c:idx val="3"/>
          <c:order val="3"/>
          <c:tx>
            <c:strRef>
              <c:f>'Pivot Tables'!$E$30:$E$32</c:f>
              <c:strCache>
                <c:ptCount val="1"/>
                <c:pt idx="0">
                  <c:v>Overseas - Winning Price</c:v>
                </c:pt>
              </c:strCache>
            </c:strRef>
          </c:tx>
          <c:spPr>
            <a:solidFill>
              <a:schemeClr val="accent4"/>
            </a:solidFill>
            <a:ln>
              <a:noFill/>
            </a:ln>
            <a:effectLst/>
          </c:spPr>
          <c:invertIfNegative val="0"/>
          <c:cat>
            <c:strRef>
              <c:f>'Pivot Tables'!$A$33:$A$43</c:f>
              <c:strCache>
                <c:ptCount val="10"/>
                <c:pt idx="0">
                  <c:v> Chennai Super Kings</c:v>
                </c:pt>
                <c:pt idx="1">
                  <c:v> Delhi Capitals</c:v>
                </c:pt>
                <c:pt idx="2">
                  <c:v> Gujarat Titans</c:v>
                </c:pt>
                <c:pt idx="3">
                  <c:v> Kolkata Knight Riders</c:v>
                </c:pt>
                <c:pt idx="4">
                  <c:v> Lucknow Super Giants</c:v>
                </c:pt>
                <c:pt idx="5">
                  <c:v> Mumbai Indians</c:v>
                </c:pt>
                <c:pt idx="6">
                  <c:v> Punjab Kings</c:v>
                </c:pt>
                <c:pt idx="7">
                  <c:v> Rajasthan Royals</c:v>
                </c:pt>
                <c:pt idx="8">
                  <c:v> Royal Challengers Bengaluru</c:v>
                </c:pt>
                <c:pt idx="9">
                  <c:v> Sunrisers Hyderabad</c:v>
                </c:pt>
              </c:strCache>
            </c:strRef>
          </c:cat>
          <c:val>
            <c:numRef>
              <c:f>'Pivot Tables'!$E$33:$E$43</c:f>
              <c:numCache>
                <c:formatCode>#,##0</c:formatCode>
                <c:ptCount val="10"/>
                <c:pt idx="0">
                  <c:v>62500000</c:v>
                </c:pt>
                <c:pt idx="1">
                  <c:v>120000000</c:v>
                </c:pt>
                <c:pt idx="2">
                  <c:v>97500000</c:v>
                </c:pt>
                <c:pt idx="3">
                  <c:v>579000000</c:v>
                </c:pt>
                <c:pt idx="4">
                  <c:v>126000000</c:v>
                </c:pt>
                <c:pt idx="5">
                  <c:v>10000000</c:v>
                </c:pt>
                <c:pt idx="6">
                  <c:v>74000000</c:v>
                </c:pt>
                <c:pt idx="7">
                  <c:v>24000000</c:v>
                </c:pt>
                <c:pt idx="8">
                  <c:v>27500000</c:v>
                </c:pt>
                <c:pt idx="9">
                  <c:v>160000000</c:v>
                </c:pt>
              </c:numCache>
            </c:numRef>
          </c:val>
          <c:extLst>
            <c:ext xmlns:c16="http://schemas.microsoft.com/office/drawing/2014/chart" uri="{C3380CC4-5D6E-409C-BE32-E72D297353CC}">
              <c16:uniqueId val="{0000003C-E310-4FF4-9B83-FBA143A5510A}"/>
            </c:ext>
          </c:extLst>
        </c:ser>
        <c:dLbls>
          <c:showLegendKey val="0"/>
          <c:showVal val="0"/>
          <c:showCatName val="0"/>
          <c:showSerName val="0"/>
          <c:showPercent val="0"/>
          <c:showBubbleSize val="0"/>
        </c:dLbls>
        <c:gapWidth val="219"/>
        <c:axId val="1545450063"/>
        <c:axId val="1545449583"/>
      </c:barChart>
      <c:catAx>
        <c:axId val="1545450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449583"/>
        <c:crosses val="autoZero"/>
        <c:auto val="1"/>
        <c:lblAlgn val="ctr"/>
        <c:lblOffset val="100"/>
        <c:noMultiLvlLbl val="0"/>
      </c:catAx>
      <c:valAx>
        <c:axId val="1545449583"/>
        <c:scaling>
          <c:orientation val="minMax"/>
        </c:scaling>
        <c:delete val="0"/>
        <c:axPos val="l"/>
        <c:majorGridlines>
          <c:spPr>
            <a:ln w="9525" cap="flat" cmpd="sng" algn="ctr">
              <a:solidFill>
                <a:schemeClr val="tx1">
                  <a:lumMod val="15000"/>
                  <a:lumOff val="85000"/>
                </a:schemeClr>
              </a:solidFill>
              <a:round/>
            </a:ln>
            <a:effectLst/>
          </c:spPr>
        </c:majorGridlines>
        <c:numFmt formatCode="00..\c\r"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450063"/>
        <c:crosses val="autoZero"/>
        <c:crossBetween val="between"/>
      </c:valAx>
      <c:spPr>
        <a:noFill/>
        <a:ln>
          <a:noFill/>
        </a:ln>
        <a:effectLst/>
      </c:spPr>
    </c:plotArea>
    <c:legend>
      <c:legendPos val="r"/>
      <c:layout>
        <c:manualLayout>
          <c:xMode val="edge"/>
          <c:yMode val="edge"/>
          <c:x val="0.51111111111111107"/>
          <c:y val="1.018883056284631E-3"/>
          <c:w val="0.48888888888888887"/>
          <c:h val="0.289628536016331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[IPL_Auction_2026_.xlsx]Pivot Tables!PivotTable12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a:t>
            </a:r>
            <a:r>
              <a:rPr lang="en-IN" b="1" baseline="0"/>
              <a:t> Expenditure by Teams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Tables'!$B$61:$B$62</c:f>
              <c:strCache>
                <c:ptCount val="1"/>
                <c:pt idx="0">
                  <c:v>Capped</c:v>
                </c:pt>
              </c:strCache>
            </c:strRef>
          </c:tx>
          <c:spPr>
            <a:solidFill>
              <a:schemeClr val="accent1"/>
            </a:solidFill>
            <a:ln>
              <a:noFill/>
            </a:ln>
            <a:effectLst/>
          </c:spPr>
          <c:invertIfNegative val="0"/>
          <c:cat>
            <c:strRef>
              <c:f>'Pivot Tables'!$A$63:$A$73</c:f>
              <c:strCache>
                <c:ptCount val="10"/>
                <c:pt idx="0">
                  <c:v> Chennai Super Kings</c:v>
                </c:pt>
                <c:pt idx="1">
                  <c:v> Delhi Capitals</c:v>
                </c:pt>
                <c:pt idx="2">
                  <c:v> Gujarat Titans</c:v>
                </c:pt>
                <c:pt idx="3">
                  <c:v> Kolkata Knight Riders</c:v>
                </c:pt>
                <c:pt idx="4">
                  <c:v> Lucknow Super Giants</c:v>
                </c:pt>
                <c:pt idx="5">
                  <c:v> Mumbai Indians</c:v>
                </c:pt>
                <c:pt idx="6">
                  <c:v> Punjab Kings</c:v>
                </c:pt>
                <c:pt idx="7">
                  <c:v> Rajasthan Royals</c:v>
                </c:pt>
                <c:pt idx="8">
                  <c:v> Royal Challengers Bengaluru</c:v>
                </c:pt>
                <c:pt idx="9">
                  <c:v> Sunrisers Hyderabad</c:v>
                </c:pt>
              </c:strCache>
            </c:strRef>
          </c:cat>
          <c:val>
            <c:numRef>
              <c:f>'Pivot Tables'!$B$63:$B$73</c:f>
              <c:numCache>
                <c:formatCode>"₹"\ #,##0</c:formatCode>
                <c:ptCount val="10"/>
                <c:pt idx="0">
                  <c:v>122000000</c:v>
                </c:pt>
                <c:pt idx="1">
                  <c:v>127500000</c:v>
                </c:pt>
                <c:pt idx="2">
                  <c:v>97500000</c:v>
                </c:pt>
                <c:pt idx="3">
                  <c:v>596500000</c:v>
                </c:pt>
                <c:pt idx="4">
                  <c:v>126000000</c:v>
                </c:pt>
                <c:pt idx="5">
                  <c:v>10000000</c:v>
                </c:pt>
                <c:pt idx="6">
                  <c:v>74000000</c:v>
                </c:pt>
                <c:pt idx="7">
                  <c:v>103500000</c:v>
                </c:pt>
                <c:pt idx="8">
                  <c:v>97500000</c:v>
                </c:pt>
                <c:pt idx="9">
                  <c:v>137500000</c:v>
                </c:pt>
              </c:numCache>
            </c:numRef>
          </c:val>
          <c:extLst>
            <c:ext xmlns:c16="http://schemas.microsoft.com/office/drawing/2014/chart" uri="{C3380CC4-5D6E-409C-BE32-E72D297353CC}">
              <c16:uniqueId val="{00000000-7295-4AA5-85BC-2BBA2C991281}"/>
            </c:ext>
          </c:extLst>
        </c:ser>
        <c:ser>
          <c:idx val="1"/>
          <c:order val="1"/>
          <c:tx>
            <c:strRef>
              <c:f>'Pivot Tables'!$C$61:$C$62</c:f>
              <c:strCache>
                <c:ptCount val="1"/>
                <c:pt idx="0">
                  <c:v>Uncapped</c:v>
                </c:pt>
              </c:strCache>
            </c:strRef>
          </c:tx>
          <c:spPr>
            <a:solidFill>
              <a:schemeClr val="accent2"/>
            </a:solidFill>
            <a:ln>
              <a:noFill/>
            </a:ln>
            <a:effectLst/>
          </c:spPr>
          <c:invertIfNegative val="0"/>
          <c:cat>
            <c:strRef>
              <c:f>'Pivot Tables'!$A$63:$A$73</c:f>
              <c:strCache>
                <c:ptCount val="10"/>
                <c:pt idx="0">
                  <c:v> Chennai Super Kings</c:v>
                </c:pt>
                <c:pt idx="1">
                  <c:v> Delhi Capitals</c:v>
                </c:pt>
                <c:pt idx="2">
                  <c:v> Gujarat Titans</c:v>
                </c:pt>
                <c:pt idx="3">
                  <c:v> Kolkata Knight Riders</c:v>
                </c:pt>
                <c:pt idx="4">
                  <c:v> Lucknow Super Giants</c:v>
                </c:pt>
                <c:pt idx="5">
                  <c:v> Mumbai Indians</c:v>
                </c:pt>
                <c:pt idx="6">
                  <c:v> Punjab Kings</c:v>
                </c:pt>
                <c:pt idx="7">
                  <c:v> Rajasthan Royals</c:v>
                </c:pt>
                <c:pt idx="8">
                  <c:v> Royal Challengers Bengaluru</c:v>
                </c:pt>
                <c:pt idx="9">
                  <c:v> Sunrisers Hyderabad</c:v>
                </c:pt>
              </c:strCache>
            </c:strRef>
          </c:cat>
          <c:val>
            <c:numRef>
              <c:f>'Pivot Tables'!$C$63:$C$73</c:f>
              <c:numCache>
                <c:formatCode>"₹"\ #,##0</c:formatCode>
                <c:ptCount val="10"/>
                <c:pt idx="0">
                  <c:v>288000000</c:v>
                </c:pt>
                <c:pt idx="1">
                  <c:v>87000000</c:v>
                </c:pt>
                <c:pt idx="2">
                  <c:v>12000000</c:v>
                </c:pt>
                <c:pt idx="3">
                  <c:v>42000000</c:v>
                </c:pt>
                <c:pt idx="4">
                  <c:v>58000000</c:v>
                </c:pt>
                <c:pt idx="5">
                  <c:v>12000000</c:v>
                </c:pt>
                <c:pt idx="6">
                  <c:v>6000000</c:v>
                </c:pt>
                <c:pt idx="7">
                  <c:v>30500000</c:v>
                </c:pt>
                <c:pt idx="8">
                  <c:v>64000000</c:v>
                </c:pt>
                <c:pt idx="9">
                  <c:v>63000000</c:v>
                </c:pt>
              </c:numCache>
            </c:numRef>
          </c:val>
          <c:extLst>
            <c:ext xmlns:c16="http://schemas.microsoft.com/office/drawing/2014/chart" uri="{C3380CC4-5D6E-409C-BE32-E72D297353CC}">
              <c16:uniqueId val="{00000004-7295-4AA5-85BC-2BBA2C991281}"/>
            </c:ext>
          </c:extLst>
        </c:ser>
        <c:dLbls>
          <c:showLegendKey val="0"/>
          <c:showVal val="0"/>
          <c:showCatName val="0"/>
          <c:showSerName val="0"/>
          <c:showPercent val="0"/>
          <c:showBubbleSize val="0"/>
        </c:dLbls>
        <c:gapWidth val="219"/>
        <c:overlap val="-27"/>
        <c:axId val="1590424127"/>
        <c:axId val="1590426047"/>
      </c:barChart>
      <c:catAx>
        <c:axId val="159042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426047"/>
        <c:crosses val="autoZero"/>
        <c:auto val="1"/>
        <c:lblAlgn val="ctr"/>
        <c:lblOffset val="100"/>
        <c:noMultiLvlLbl val="0"/>
      </c:catAx>
      <c:valAx>
        <c:axId val="1590426047"/>
        <c:scaling>
          <c:orientation val="minMax"/>
        </c:scaling>
        <c:delete val="0"/>
        <c:axPos val="l"/>
        <c:majorGridlines>
          <c:spPr>
            <a:ln w="9525" cap="flat" cmpd="sng" algn="ctr">
              <a:solidFill>
                <a:schemeClr val="tx1">
                  <a:lumMod val="15000"/>
                  <a:lumOff val="85000"/>
                </a:schemeClr>
              </a:solidFill>
              <a:round/>
            </a:ln>
            <a:effectLst/>
          </c:spPr>
        </c:majorGridlines>
        <c:numFmt formatCode="0.0\c\r"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42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[IPL_Auction_2026_.xlsx]Pivot Tables!PivotTable13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Capped</a:t>
            </a:r>
            <a:r>
              <a:rPr lang="en-US" b="1" baseline="0"/>
              <a:t> Vs Uncapped by Nationality</a:t>
            </a:r>
          </a:p>
        </c:rich>
      </c:tx>
      <c:layout>
        <c:manualLayout>
          <c:xMode val="edge"/>
          <c:yMode val="edge"/>
          <c:x val="7.4763801509735911E-2"/>
          <c:y val="5.00371945485423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7148024179904342"/>
          <c:w val="0.96971335346780263"/>
          <c:h val="0.61110455705231959"/>
        </c:manualLayout>
      </c:layout>
      <c:pie3DChart>
        <c:varyColors val="1"/>
        <c:ser>
          <c:idx val="0"/>
          <c:order val="0"/>
          <c:tx>
            <c:strRef>
              <c:f>'Pivot Tables'!$G$61:$G$62</c:f>
              <c:strCache>
                <c:ptCount val="1"/>
                <c:pt idx="0">
                  <c:v>Capped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207-4769-811B-2114AE6FC56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207-4769-811B-2114AE6FC564}"/>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07-4769-811B-2114AE6FC564}"/>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207-4769-811B-2114AE6FC56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 Tables'!$F$63:$F$65</c:f>
              <c:strCache>
                <c:ptCount val="2"/>
                <c:pt idx="0">
                  <c:v>Indian</c:v>
                </c:pt>
                <c:pt idx="1">
                  <c:v>Overseas</c:v>
                </c:pt>
              </c:strCache>
            </c:strRef>
          </c:cat>
          <c:val>
            <c:numRef>
              <c:f>'Pivot Tables'!$G$63:$G$65</c:f>
              <c:numCache>
                <c:formatCode>General</c:formatCode>
                <c:ptCount val="2"/>
                <c:pt idx="0">
                  <c:v>9</c:v>
                </c:pt>
                <c:pt idx="1">
                  <c:v>28</c:v>
                </c:pt>
              </c:numCache>
            </c:numRef>
          </c:val>
          <c:extLst>
            <c:ext xmlns:c16="http://schemas.microsoft.com/office/drawing/2014/chart" uri="{C3380CC4-5D6E-409C-BE32-E72D297353CC}">
              <c16:uniqueId val="{00000004-1207-4769-811B-2114AE6FC564}"/>
            </c:ext>
          </c:extLst>
        </c:ser>
        <c:ser>
          <c:idx val="1"/>
          <c:order val="1"/>
          <c:tx>
            <c:strRef>
              <c:f>'Pivot Tables'!$H$61:$H$62</c:f>
              <c:strCache>
                <c:ptCount val="1"/>
                <c:pt idx="0">
                  <c:v>Uncapped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5-B2D9-4EA8-8203-00F7AB5A935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7-B2D9-4EA8-8203-00F7AB5A9359}"/>
              </c:ext>
            </c:extLst>
          </c:dPt>
          <c:cat>
            <c:strRef>
              <c:f>'Pivot Tables'!$F$63:$F$65</c:f>
              <c:strCache>
                <c:ptCount val="2"/>
                <c:pt idx="0">
                  <c:v>Indian</c:v>
                </c:pt>
                <c:pt idx="1">
                  <c:v>Overseas</c:v>
                </c:pt>
              </c:strCache>
            </c:strRef>
          </c:cat>
          <c:val>
            <c:numRef>
              <c:f>'Pivot Tables'!$H$63:$H$65</c:f>
              <c:numCache>
                <c:formatCode>General</c:formatCode>
                <c:ptCount val="2"/>
                <c:pt idx="0">
                  <c:v>39</c:v>
                </c:pt>
                <c:pt idx="1">
                  <c:v>1</c:v>
                </c:pt>
              </c:numCache>
            </c:numRef>
          </c:val>
          <c:extLst>
            <c:ext xmlns:c16="http://schemas.microsoft.com/office/drawing/2014/chart" uri="{C3380CC4-5D6E-409C-BE32-E72D297353CC}">
              <c16:uniqueId val="{0000000D-1207-4769-811B-2114AE6FC56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[IPL_Auction_2026_.xlsx]Pivot Tables!PivotTable12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Expensies By Capped/Uncapped</a:t>
            </a:r>
            <a:r>
              <a:rPr lang="en-IN"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357522520740184"/>
          <c:y val="0.13902225636429594"/>
          <c:w val="0.50825804437761868"/>
          <c:h val="0.75619785331711586"/>
        </c:manualLayout>
      </c:layout>
      <c:barChart>
        <c:barDir val="bar"/>
        <c:grouping val="clustered"/>
        <c:varyColors val="0"/>
        <c:ser>
          <c:idx val="0"/>
          <c:order val="0"/>
          <c:tx>
            <c:strRef>
              <c:f>'Pivot Tables'!$B$61:$B$62</c:f>
              <c:strCache>
                <c:ptCount val="1"/>
                <c:pt idx="0">
                  <c:v>Capped</c:v>
                </c:pt>
              </c:strCache>
            </c:strRef>
          </c:tx>
          <c:spPr>
            <a:solidFill>
              <a:schemeClr val="accent1"/>
            </a:solidFill>
            <a:ln>
              <a:noFill/>
            </a:ln>
            <a:effectLst/>
          </c:spPr>
          <c:invertIfNegative val="0"/>
          <c:cat>
            <c:strRef>
              <c:f>'Pivot Tables'!$A$63:$A$73</c:f>
              <c:strCache>
                <c:ptCount val="10"/>
                <c:pt idx="0">
                  <c:v> Chennai Super Kings</c:v>
                </c:pt>
                <c:pt idx="1">
                  <c:v> Delhi Capitals</c:v>
                </c:pt>
                <c:pt idx="2">
                  <c:v> Gujarat Titans</c:v>
                </c:pt>
                <c:pt idx="3">
                  <c:v> Kolkata Knight Riders</c:v>
                </c:pt>
                <c:pt idx="4">
                  <c:v> Lucknow Super Giants</c:v>
                </c:pt>
                <c:pt idx="5">
                  <c:v> Mumbai Indians</c:v>
                </c:pt>
                <c:pt idx="6">
                  <c:v> Punjab Kings</c:v>
                </c:pt>
                <c:pt idx="7">
                  <c:v> Rajasthan Royals</c:v>
                </c:pt>
                <c:pt idx="8">
                  <c:v> Royal Challengers Bengaluru</c:v>
                </c:pt>
                <c:pt idx="9">
                  <c:v> Sunrisers Hyderabad</c:v>
                </c:pt>
              </c:strCache>
            </c:strRef>
          </c:cat>
          <c:val>
            <c:numRef>
              <c:f>'Pivot Tables'!$B$63:$B$73</c:f>
              <c:numCache>
                <c:formatCode>"₹"\ #,##0</c:formatCode>
                <c:ptCount val="10"/>
                <c:pt idx="0">
                  <c:v>122000000</c:v>
                </c:pt>
                <c:pt idx="1">
                  <c:v>127500000</c:v>
                </c:pt>
                <c:pt idx="2">
                  <c:v>97500000</c:v>
                </c:pt>
                <c:pt idx="3">
                  <c:v>596500000</c:v>
                </c:pt>
                <c:pt idx="4">
                  <c:v>126000000</c:v>
                </c:pt>
                <c:pt idx="5">
                  <c:v>10000000</c:v>
                </c:pt>
                <c:pt idx="6">
                  <c:v>74000000</c:v>
                </c:pt>
                <c:pt idx="7">
                  <c:v>103500000</c:v>
                </c:pt>
                <c:pt idx="8">
                  <c:v>97500000</c:v>
                </c:pt>
                <c:pt idx="9">
                  <c:v>137500000</c:v>
                </c:pt>
              </c:numCache>
            </c:numRef>
          </c:val>
          <c:extLst>
            <c:ext xmlns:c16="http://schemas.microsoft.com/office/drawing/2014/chart" uri="{C3380CC4-5D6E-409C-BE32-E72D297353CC}">
              <c16:uniqueId val="{00000000-CE75-47E9-82DD-42945BF761BD}"/>
            </c:ext>
          </c:extLst>
        </c:ser>
        <c:ser>
          <c:idx val="1"/>
          <c:order val="1"/>
          <c:tx>
            <c:strRef>
              <c:f>'Pivot Tables'!$C$61:$C$62</c:f>
              <c:strCache>
                <c:ptCount val="1"/>
                <c:pt idx="0">
                  <c:v>Uncapped</c:v>
                </c:pt>
              </c:strCache>
            </c:strRef>
          </c:tx>
          <c:spPr>
            <a:solidFill>
              <a:schemeClr val="accent2"/>
            </a:solidFill>
            <a:ln>
              <a:noFill/>
            </a:ln>
            <a:effectLst/>
          </c:spPr>
          <c:invertIfNegative val="0"/>
          <c:cat>
            <c:strRef>
              <c:f>'Pivot Tables'!$A$63:$A$73</c:f>
              <c:strCache>
                <c:ptCount val="10"/>
                <c:pt idx="0">
                  <c:v> Chennai Super Kings</c:v>
                </c:pt>
                <c:pt idx="1">
                  <c:v> Delhi Capitals</c:v>
                </c:pt>
                <c:pt idx="2">
                  <c:v> Gujarat Titans</c:v>
                </c:pt>
                <c:pt idx="3">
                  <c:v> Kolkata Knight Riders</c:v>
                </c:pt>
                <c:pt idx="4">
                  <c:v> Lucknow Super Giants</c:v>
                </c:pt>
                <c:pt idx="5">
                  <c:v> Mumbai Indians</c:v>
                </c:pt>
                <c:pt idx="6">
                  <c:v> Punjab Kings</c:v>
                </c:pt>
                <c:pt idx="7">
                  <c:v> Rajasthan Royals</c:v>
                </c:pt>
                <c:pt idx="8">
                  <c:v> Royal Challengers Bengaluru</c:v>
                </c:pt>
                <c:pt idx="9">
                  <c:v> Sunrisers Hyderabad</c:v>
                </c:pt>
              </c:strCache>
            </c:strRef>
          </c:cat>
          <c:val>
            <c:numRef>
              <c:f>'Pivot Tables'!$C$63:$C$73</c:f>
              <c:numCache>
                <c:formatCode>"₹"\ #,##0</c:formatCode>
                <c:ptCount val="10"/>
                <c:pt idx="0">
                  <c:v>288000000</c:v>
                </c:pt>
                <c:pt idx="1">
                  <c:v>87000000</c:v>
                </c:pt>
                <c:pt idx="2">
                  <c:v>12000000</c:v>
                </c:pt>
                <c:pt idx="3">
                  <c:v>42000000</c:v>
                </c:pt>
                <c:pt idx="4">
                  <c:v>58000000</c:v>
                </c:pt>
                <c:pt idx="5">
                  <c:v>12000000</c:v>
                </c:pt>
                <c:pt idx="6">
                  <c:v>6000000</c:v>
                </c:pt>
                <c:pt idx="7">
                  <c:v>30500000</c:v>
                </c:pt>
                <c:pt idx="8">
                  <c:v>64000000</c:v>
                </c:pt>
                <c:pt idx="9">
                  <c:v>63000000</c:v>
                </c:pt>
              </c:numCache>
            </c:numRef>
          </c:val>
          <c:extLst>
            <c:ext xmlns:c16="http://schemas.microsoft.com/office/drawing/2014/chart" uri="{C3380CC4-5D6E-409C-BE32-E72D297353CC}">
              <c16:uniqueId val="{00000004-CE75-47E9-82DD-42945BF761BD}"/>
            </c:ext>
          </c:extLst>
        </c:ser>
        <c:dLbls>
          <c:showLegendKey val="0"/>
          <c:showVal val="0"/>
          <c:showCatName val="0"/>
          <c:showSerName val="0"/>
          <c:showPercent val="0"/>
          <c:showBubbleSize val="0"/>
        </c:dLbls>
        <c:gapWidth val="182"/>
        <c:axId val="1650044575"/>
        <c:axId val="1650045535"/>
      </c:barChart>
      <c:catAx>
        <c:axId val="1650044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045535"/>
        <c:crosses val="autoZero"/>
        <c:auto val="1"/>
        <c:lblAlgn val="ctr"/>
        <c:lblOffset val="100"/>
        <c:noMultiLvlLbl val="0"/>
      </c:catAx>
      <c:valAx>
        <c:axId val="1650045535"/>
        <c:scaling>
          <c:orientation val="minMax"/>
        </c:scaling>
        <c:delete val="0"/>
        <c:axPos val="b"/>
        <c:majorGridlines>
          <c:spPr>
            <a:ln w="9525" cap="flat" cmpd="sng" algn="ctr">
              <a:solidFill>
                <a:schemeClr val="tx1">
                  <a:lumMod val="15000"/>
                  <a:lumOff val="85000"/>
                </a:schemeClr>
              </a:solidFill>
              <a:round/>
            </a:ln>
            <a:effectLst/>
          </c:spPr>
        </c:majorGridlines>
        <c:numFmt formatCode="0.0\c\r"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044575"/>
        <c:crosses val="autoZero"/>
        <c:crossBetween val="between"/>
      </c:valAx>
      <c:spPr>
        <a:noFill/>
        <a:ln>
          <a:noFill/>
        </a:ln>
        <a:effectLst/>
      </c:spPr>
    </c:plotArea>
    <c:legend>
      <c:legendPos val="r"/>
      <c:layout>
        <c:manualLayout>
          <c:xMode val="edge"/>
          <c:yMode val="edge"/>
          <c:x val="0.82362754278830719"/>
          <c:y val="3.9361543221731451E-2"/>
          <c:w val="0.14845509261091108"/>
          <c:h val="0.150574629867403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xdr:row>
      <xdr:rowOff>182879</xdr:rowOff>
    </xdr:from>
    <xdr:to>
      <xdr:col>6</xdr:col>
      <xdr:colOff>7620</xdr:colOff>
      <xdr:row>21</xdr:row>
      <xdr:rowOff>124926</xdr:rowOff>
    </xdr:to>
    <xdr:pic>
      <xdr:nvPicPr>
        <xdr:cNvPr id="5" name="Picture 4">
          <a:extLst>
            <a:ext uri="{FF2B5EF4-FFF2-40B4-BE49-F238E27FC236}">
              <a16:creationId xmlns:a16="http://schemas.microsoft.com/office/drawing/2014/main" id="{EB4128C6-89A2-6F5E-F2F8-91A336E9CB4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 y="914399"/>
          <a:ext cx="3055620" cy="3096727"/>
        </a:xfrm>
        <a:prstGeom prst="rect">
          <a:avLst/>
        </a:prstGeom>
      </xdr:spPr>
    </xdr:pic>
    <xdr:clientData/>
  </xdr:twoCellAnchor>
  <xdr:twoCellAnchor>
    <xdr:from>
      <xdr:col>6</xdr:col>
      <xdr:colOff>0</xdr:colOff>
      <xdr:row>16</xdr:row>
      <xdr:rowOff>0</xdr:rowOff>
    </xdr:from>
    <xdr:to>
      <xdr:col>13</xdr:col>
      <xdr:colOff>304800</xdr:colOff>
      <xdr:row>31</xdr:row>
      <xdr:rowOff>0</xdr:rowOff>
    </xdr:to>
    <xdr:graphicFrame macro="">
      <xdr:nvGraphicFramePr>
        <xdr:cNvPr id="2" name="Chart 1">
          <a:extLst>
            <a:ext uri="{FF2B5EF4-FFF2-40B4-BE49-F238E27FC236}">
              <a16:creationId xmlns:a16="http://schemas.microsoft.com/office/drawing/2014/main" id="{709B9044-7EDC-4A1C-A659-0EA52AD38B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335280</xdr:colOff>
      <xdr:row>16</xdr:row>
      <xdr:rowOff>7620</xdr:rowOff>
    </xdr:from>
    <xdr:to>
      <xdr:col>21</xdr:col>
      <xdr:colOff>30480</xdr:colOff>
      <xdr:row>31</xdr:row>
      <xdr:rowOff>7620</xdr:rowOff>
    </xdr:to>
    <xdr:graphicFrame macro="">
      <xdr:nvGraphicFramePr>
        <xdr:cNvPr id="3" name="Chart 2">
          <a:extLst>
            <a:ext uri="{FF2B5EF4-FFF2-40B4-BE49-F238E27FC236}">
              <a16:creationId xmlns:a16="http://schemas.microsoft.com/office/drawing/2014/main" id="{5ECE704A-4BA0-4422-9401-FC711A9A78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510540</xdr:colOff>
      <xdr:row>22</xdr:row>
      <xdr:rowOff>22861</xdr:rowOff>
    </xdr:from>
    <xdr:to>
      <xdr:col>5</xdr:col>
      <xdr:colOff>510540</xdr:colOff>
      <xdr:row>27</xdr:row>
      <xdr:rowOff>38101</xdr:rowOff>
    </xdr:to>
    <mc:AlternateContent xmlns:mc="http://schemas.openxmlformats.org/markup-compatibility/2006" xmlns:a14="http://schemas.microsoft.com/office/drawing/2010/main">
      <mc:Choice Requires="a14">
        <xdr:graphicFrame macro="">
          <xdr:nvGraphicFramePr>
            <xdr:cNvPr id="6" name="Nationality">
              <a:extLst>
                <a:ext uri="{FF2B5EF4-FFF2-40B4-BE49-F238E27FC236}">
                  <a16:creationId xmlns:a16="http://schemas.microsoft.com/office/drawing/2014/main" id="{CF2D6503-FA74-9F0F-8868-E5798228DC8A}"/>
                </a:ext>
              </a:extLst>
            </xdr:cNvPr>
            <xdr:cNvGraphicFramePr/>
          </xdr:nvGraphicFramePr>
          <xdr:xfrm>
            <a:off x="0" y="0"/>
            <a:ext cx="0" cy="0"/>
          </xdr:xfrm>
          <a:graphic>
            <a:graphicData uri="http://schemas.microsoft.com/office/drawing/2010/slicer">
              <sle:slicer xmlns:sle="http://schemas.microsoft.com/office/drawing/2010/slicer" name="Nationality"/>
            </a:graphicData>
          </a:graphic>
        </xdr:graphicFrame>
      </mc:Choice>
      <mc:Fallback xmlns="">
        <xdr:sp macro="" textlink="">
          <xdr:nvSpPr>
            <xdr:cNvPr id="0" name=""/>
            <xdr:cNvSpPr>
              <a:spLocks noTextEdit="1"/>
            </xdr:cNvSpPr>
          </xdr:nvSpPr>
          <xdr:spPr>
            <a:xfrm>
              <a:off x="1729740" y="4137661"/>
              <a:ext cx="1828800" cy="9405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0</xdr:colOff>
      <xdr:row>31</xdr:row>
      <xdr:rowOff>30480</xdr:rowOff>
    </xdr:from>
    <xdr:to>
      <xdr:col>13</xdr:col>
      <xdr:colOff>304800</xdr:colOff>
      <xdr:row>46</xdr:row>
      <xdr:rowOff>30480</xdr:rowOff>
    </xdr:to>
    <xdr:graphicFrame macro="">
      <xdr:nvGraphicFramePr>
        <xdr:cNvPr id="7" name="Chart 6">
          <a:extLst>
            <a:ext uri="{FF2B5EF4-FFF2-40B4-BE49-F238E27FC236}">
              <a16:creationId xmlns:a16="http://schemas.microsoft.com/office/drawing/2014/main" id="{4CF03792-5EE6-420B-A1FD-6DF5A62945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373380</xdr:colOff>
      <xdr:row>31</xdr:row>
      <xdr:rowOff>38100</xdr:rowOff>
    </xdr:from>
    <xdr:to>
      <xdr:col>21</xdr:col>
      <xdr:colOff>68580</xdr:colOff>
      <xdr:row>46</xdr:row>
      <xdr:rowOff>38100</xdr:rowOff>
    </xdr:to>
    <xdr:graphicFrame macro="">
      <xdr:nvGraphicFramePr>
        <xdr:cNvPr id="8" name="Chart 7">
          <a:extLst>
            <a:ext uri="{FF2B5EF4-FFF2-40B4-BE49-F238E27FC236}">
              <a16:creationId xmlns:a16="http://schemas.microsoft.com/office/drawing/2014/main" id="{8FDB59B3-949D-4447-8289-2B79D30DA2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480060</xdr:colOff>
      <xdr:row>28</xdr:row>
      <xdr:rowOff>22860</xdr:rowOff>
    </xdr:from>
    <xdr:to>
      <xdr:col>5</xdr:col>
      <xdr:colOff>480060</xdr:colOff>
      <xdr:row>44</xdr:row>
      <xdr:rowOff>137160</xdr:rowOff>
    </xdr:to>
    <mc:AlternateContent xmlns:mc="http://schemas.openxmlformats.org/markup-compatibility/2006" xmlns:a14="http://schemas.microsoft.com/office/drawing/2010/main">
      <mc:Choice Requires="a14">
        <xdr:graphicFrame macro="">
          <xdr:nvGraphicFramePr>
            <xdr:cNvPr id="9" name="TeamName">
              <a:extLst>
                <a:ext uri="{FF2B5EF4-FFF2-40B4-BE49-F238E27FC236}">
                  <a16:creationId xmlns:a16="http://schemas.microsoft.com/office/drawing/2014/main" id="{05EBBDDA-BD1B-BE6B-8A59-CFC48A151E2B}"/>
                </a:ext>
              </a:extLst>
            </xdr:cNvPr>
            <xdr:cNvGraphicFramePr/>
          </xdr:nvGraphicFramePr>
          <xdr:xfrm>
            <a:off x="0" y="0"/>
            <a:ext cx="0" cy="0"/>
          </xdr:xfrm>
          <a:graphic>
            <a:graphicData uri="http://schemas.microsoft.com/office/drawing/2010/slicer">
              <sle:slicer xmlns:sle="http://schemas.microsoft.com/office/drawing/2010/slicer" name="TeamName"/>
            </a:graphicData>
          </a:graphic>
        </xdr:graphicFrame>
      </mc:Choice>
      <mc:Fallback xmlns="">
        <xdr:sp macro="" textlink="">
          <xdr:nvSpPr>
            <xdr:cNvPr id="0" name=""/>
            <xdr:cNvSpPr>
              <a:spLocks noTextEdit="1"/>
            </xdr:cNvSpPr>
          </xdr:nvSpPr>
          <xdr:spPr>
            <a:xfrm>
              <a:off x="1699260" y="5248003"/>
              <a:ext cx="1828800" cy="30752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30480</xdr:colOff>
      <xdr:row>46</xdr:row>
      <xdr:rowOff>91440</xdr:rowOff>
    </xdr:from>
    <xdr:to>
      <xdr:col>13</xdr:col>
      <xdr:colOff>312420</xdr:colOff>
      <xdr:row>62</xdr:row>
      <xdr:rowOff>15240</xdr:rowOff>
    </xdr:to>
    <xdr:graphicFrame macro="">
      <xdr:nvGraphicFramePr>
        <xdr:cNvPr id="10" name="Chart 9">
          <a:extLst>
            <a:ext uri="{FF2B5EF4-FFF2-40B4-BE49-F238E27FC236}">
              <a16:creationId xmlns:a16="http://schemas.microsoft.com/office/drawing/2014/main" id="{23382434-9FB7-4E6D-980A-15F56F4AD8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411480</xdr:colOff>
      <xdr:row>46</xdr:row>
      <xdr:rowOff>114300</xdr:rowOff>
    </xdr:from>
    <xdr:to>
      <xdr:col>21</xdr:col>
      <xdr:colOff>83820</xdr:colOff>
      <xdr:row>62</xdr:row>
      <xdr:rowOff>0</xdr:rowOff>
    </xdr:to>
    <xdr:graphicFrame macro="">
      <xdr:nvGraphicFramePr>
        <xdr:cNvPr id="11" name="Chart 10">
          <a:extLst>
            <a:ext uri="{FF2B5EF4-FFF2-40B4-BE49-F238E27FC236}">
              <a16:creationId xmlns:a16="http://schemas.microsoft.com/office/drawing/2014/main" id="{AFF6F6DA-37EB-4BF6-A209-116D3FACB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510540</xdr:colOff>
      <xdr:row>46</xdr:row>
      <xdr:rowOff>30481</xdr:rowOff>
    </xdr:from>
    <xdr:to>
      <xdr:col>5</xdr:col>
      <xdr:colOff>510540</xdr:colOff>
      <xdr:row>52</xdr:row>
      <xdr:rowOff>15241</xdr:rowOff>
    </xdr:to>
    <mc:AlternateContent xmlns:mc="http://schemas.openxmlformats.org/markup-compatibility/2006" xmlns:a14="http://schemas.microsoft.com/office/drawing/2010/main">
      <mc:Choice Requires="a14">
        <xdr:graphicFrame macro="">
          <xdr:nvGraphicFramePr>
            <xdr:cNvPr id="12" name="Capped/UnCapped">
              <a:extLst>
                <a:ext uri="{FF2B5EF4-FFF2-40B4-BE49-F238E27FC236}">
                  <a16:creationId xmlns:a16="http://schemas.microsoft.com/office/drawing/2014/main" id="{EEC98008-927C-E529-49D1-CA2BD29A68CD}"/>
                </a:ext>
              </a:extLst>
            </xdr:cNvPr>
            <xdr:cNvGraphicFramePr/>
          </xdr:nvGraphicFramePr>
          <xdr:xfrm>
            <a:off x="0" y="0"/>
            <a:ext cx="0" cy="0"/>
          </xdr:xfrm>
          <a:graphic>
            <a:graphicData uri="http://schemas.microsoft.com/office/drawing/2010/slicer">
              <sle:slicer xmlns:sle="http://schemas.microsoft.com/office/drawing/2010/slicer" name="Capped/UnCapped"/>
            </a:graphicData>
          </a:graphic>
        </xdr:graphicFrame>
      </mc:Choice>
      <mc:Fallback xmlns="">
        <xdr:sp macro="" textlink="">
          <xdr:nvSpPr>
            <xdr:cNvPr id="0" name=""/>
            <xdr:cNvSpPr>
              <a:spLocks noTextEdit="1"/>
            </xdr:cNvSpPr>
          </xdr:nvSpPr>
          <xdr:spPr>
            <a:xfrm>
              <a:off x="1729740" y="8586652"/>
              <a:ext cx="1828800" cy="10951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20.384038773147" createdVersion="8" refreshedVersion="8" minRefreshableVersion="3" recordCount="77" xr:uid="{FDF7CC0D-B311-49B8-9BAE-FC72554A23D2}">
  <cacheSource type="worksheet">
    <worksheetSource ref="A1:G78" sheet="Ipl Auction 2026"/>
  </cacheSource>
  <cacheFields count="7">
    <cacheField name="SL.No" numFmtId="0">
      <sharedItems containsSemiMixedTypes="0" containsString="0" containsNumber="1" containsInteger="1" minValue="1" maxValue="77"/>
    </cacheField>
    <cacheField name="Name" numFmtId="0">
      <sharedItems count="77">
        <s v="Kartik Sharma"/>
        <s v="Prashant Veer"/>
        <s v="Rahul Chahar"/>
        <s v="Matt Henry  "/>
        <s v="Akeal Hosein  "/>
        <s v="Matthew Short  "/>
        <s v="Zak Foulkes  "/>
        <s v="Sarfaraz Khan"/>
        <s v="Aman Khan"/>
        <s v="Auqib Dar"/>
        <s v="Pathum Nissanka  "/>
        <s v="Kyle Jamieson  "/>
        <s v="Lungisani Ngidi  "/>
        <s v="Ben Duckett  "/>
        <s v="David Miller  "/>
        <s v="Prithvi Shaw"/>
        <s v="Sahil Parakh"/>
        <s v="Jason Holder  "/>
        <s v="Tom Banton  "/>
        <s v="Ashok Sharma"/>
        <s v="Luke Wood  "/>
        <s v="Prithviraj Yarra"/>
        <s v="Cameron Green  "/>
        <s v="Matheesha Pathirana  "/>
        <s v="Mustafizur Rahman  "/>
        <s v="Tejasvi Singh"/>
        <s v="Rachin Ravindra  "/>
        <s v="Finn Allen  "/>
        <s v="Tim Seifert  "/>
        <s v="Akash Deep"/>
        <s v="Rahul Tripathi"/>
        <s v="Daksh Kamra"/>
        <s v="Sarthak Ranjan"/>
        <s v="Prashant Solanki"/>
        <s v="Kartik Tyagi"/>
        <s v="Josh Inglis  "/>
        <s v="Mukul Choudhary"/>
        <s v="Akshat Raghuwanshi"/>
        <s v="Anrich Nortje  "/>
        <s v="Wanindu Hasaranga  "/>
        <s v="Naman Tiwari"/>
        <s v="Quinton De Kock  "/>
        <s v="Mayank Rawat"/>
        <s v="Atharva Ankolekar"/>
        <s v="Mohammad Izhar"/>
        <s v="Danish Malewar"/>
        <s v="Ben Dwarshuis  "/>
        <s v="Cooper Connolly  "/>
        <s v="Vishal Nishad"/>
        <s v="Pravin Dubey"/>
        <s v="Ravi Bishnoi"/>
        <s v="Adam Milne  "/>
        <s v="Ravi Singh"/>
        <s v="Sushant Mishra"/>
        <s v="Kuldeep Sen"/>
        <s v="Brijesh Sharma"/>
        <s v="Aman Rao Perala"/>
        <s v="Vignesh Puthur"/>
        <s v="Yash Raj Punja"/>
        <s v="Venkatesh Iyer"/>
        <s v="Mangesh Yadav"/>
        <s v="Jacob Duffy  "/>
        <s v="Jordan Cox  "/>
        <s v="Kanishk Chouhan"/>
        <s v="Vihaan Malhotra"/>
        <s v="Vicky Ostwal"/>
        <s v="Satvik Deswal"/>
        <s v="Liam Livingstone  "/>
        <s v="Jack Edwards  "/>
        <s v="Salil Arora"/>
        <s v="Shivam Mavi"/>
        <s v="Krains Fuletra"/>
        <s v="Praful Hinge"/>
        <s v="Amit Kumar"/>
        <s v="Onkar Tarmale"/>
        <s v="Sakib Hussain"/>
        <s v="Shivang Kumar"/>
      </sharedItems>
    </cacheField>
    <cacheField name="Nationality" numFmtId="0">
      <sharedItems count="2">
        <s v="Indian"/>
        <s v="Overseas"/>
      </sharedItems>
    </cacheField>
    <cacheField name="BasePrices in Rs" numFmtId="3">
      <sharedItems containsSemiMixedTypes="0" containsString="0" containsNumber="1" containsInteger="1" minValue="3000000" maxValue="20000000" count="6">
        <n v="3000000"/>
        <n v="10000000"/>
        <n v="20000000"/>
        <n v="15000000"/>
        <n v="7500000"/>
        <n v="5000000"/>
      </sharedItems>
    </cacheField>
    <cacheField name="Winning Bid in Rs" numFmtId="3">
      <sharedItems containsSemiMixedTypes="0" containsString="0" containsNumber="1" containsInteger="1" minValue="3000000" maxValue="252000000" count="24">
        <n v="142000000"/>
        <n v="52000000"/>
        <n v="20000000"/>
        <n v="15000000"/>
        <n v="7500000"/>
        <n v="4000000"/>
        <n v="84000000"/>
        <n v="40000000"/>
        <n v="3000000"/>
        <n v="70000000"/>
        <n v="9000000"/>
        <n v="252000000"/>
        <n v="180000000"/>
        <n v="92000000"/>
        <n v="30000000"/>
        <n v="10000000"/>
        <n v="86000000"/>
        <n v="26000000"/>
        <n v="22000000"/>
        <n v="44000000"/>
        <n v="72000000"/>
        <n v="24000000"/>
        <n v="9500000"/>
        <n v="130000000"/>
      </sharedItems>
    </cacheField>
    <cacheField name="TeamName" numFmtId="0">
      <sharedItems count="10">
        <s v=" Chennai Super Kings"/>
        <s v=" Delhi Capitals"/>
        <s v=" Gujarat Titans"/>
        <s v=" Kolkata Knight Riders"/>
        <s v=" Lucknow Super Giants"/>
        <s v=" Mumbai Indians"/>
        <s v=" Punjab Kings"/>
        <s v=" Rajasthan Royals"/>
        <s v=" Royal Challengers Bengaluru"/>
        <s v=" Sunrisers Hyderabad"/>
      </sharedItems>
    </cacheField>
    <cacheField name="Capped/UnCapped" numFmtId="0">
      <sharedItems count="2">
        <s v="Uncapped"/>
        <s v="Capped"/>
      </sharedItems>
    </cacheField>
  </cacheFields>
  <extLst>
    <ext xmlns:x14="http://schemas.microsoft.com/office/spreadsheetml/2009/9/main" uri="{725AE2AE-9491-48be-B2B4-4EB974FC3084}">
      <x14:pivotCacheDefinition pivotCacheId="19758525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n v="1"/>
    <x v="0"/>
    <x v="0"/>
    <x v="0"/>
    <x v="0"/>
    <x v="0"/>
    <x v="0"/>
  </r>
  <r>
    <n v="2"/>
    <x v="1"/>
    <x v="0"/>
    <x v="0"/>
    <x v="0"/>
    <x v="0"/>
    <x v="0"/>
  </r>
  <r>
    <n v="3"/>
    <x v="2"/>
    <x v="0"/>
    <x v="1"/>
    <x v="1"/>
    <x v="0"/>
    <x v="1"/>
  </r>
  <r>
    <n v="4"/>
    <x v="3"/>
    <x v="1"/>
    <x v="2"/>
    <x v="2"/>
    <x v="0"/>
    <x v="1"/>
  </r>
  <r>
    <n v="5"/>
    <x v="4"/>
    <x v="1"/>
    <x v="2"/>
    <x v="2"/>
    <x v="0"/>
    <x v="1"/>
  </r>
  <r>
    <n v="6"/>
    <x v="5"/>
    <x v="1"/>
    <x v="3"/>
    <x v="3"/>
    <x v="0"/>
    <x v="1"/>
  </r>
  <r>
    <n v="7"/>
    <x v="6"/>
    <x v="1"/>
    <x v="4"/>
    <x v="4"/>
    <x v="0"/>
    <x v="1"/>
  </r>
  <r>
    <n v="8"/>
    <x v="7"/>
    <x v="0"/>
    <x v="4"/>
    <x v="4"/>
    <x v="0"/>
    <x v="1"/>
  </r>
  <r>
    <n v="9"/>
    <x v="8"/>
    <x v="0"/>
    <x v="0"/>
    <x v="5"/>
    <x v="0"/>
    <x v="0"/>
  </r>
  <r>
    <n v="10"/>
    <x v="9"/>
    <x v="0"/>
    <x v="0"/>
    <x v="6"/>
    <x v="1"/>
    <x v="0"/>
  </r>
  <r>
    <n v="11"/>
    <x v="10"/>
    <x v="1"/>
    <x v="4"/>
    <x v="7"/>
    <x v="1"/>
    <x v="1"/>
  </r>
  <r>
    <n v="12"/>
    <x v="11"/>
    <x v="1"/>
    <x v="2"/>
    <x v="2"/>
    <x v="1"/>
    <x v="1"/>
  </r>
  <r>
    <n v="13"/>
    <x v="12"/>
    <x v="1"/>
    <x v="2"/>
    <x v="2"/>
    <x v="1"/>
    <x v="1"/>
  </r>
  <r>
    <n v="14"/>
    <x v="13"/>
    <x v="1"/>
    <x v="2"/>
    <x v="2"/>
    <x v="1"/>
    <x v="1"/>
  </r>
  <r>
    <n v="15"/>
    <x v="14"/>
    <x v="1"/>
    <x v="2"/>
    <x v="2"/>
    <x v="1"/>
    <x v="1"/>
  </r>
  <r>
    <n v="16"/>
    <x v="15"/>
    <x v="0"/>
    <x v="4"/>
    <x v="4"/>
    <x v="1"/>
    <x v="1"/>
  </r>
  <r>
    <n v="17"/>
    <x v="16"/>
    <x v="0"/>
    <x v="0"/>
    <x v="8"/>
    <x v="1"/>
    <x v="0"/>
  </r>
  <r>
    <n v="18"/>
    <x v="17"/>
    <x v="1"/>
    <x v="2"/>
    <x v="9"/>
    <x v="2"/>
    <x v="1"/>
  </r>
  <r>
    <n v="19"/>
    <x v="18"/>
    <x v="1"/>
    <x v="2"/>
    <x v="2"/>
    <x v="2"/>
    <x v="1"/>
  </r>
  <r>
    <n v="20"/>
    <x v="19"/>
    <x v="0"/>
    <x v="0"/>
    <x v="10"/>
    <x v="2"/>
    <x v="0"/>
  </r>
  <r>
    <n v="21"/>
    <x v="20"/>
    <x v="1"/>
    <x v="4"/>
    <x v="4"/>
    <x v="2"/>
    <x v="1"/>
  </r>
  <r>
    <n v="22"/>
    <x v="21"/>
    <x v="0"/>
    <x v="0"/>
    <x v="8"/>
    <x v="2"/>
    <x v="0"/>
  </r>
  <r>
    <n v="23"/>
    <x v="22"/>
    <x v="1"/>
    <x v="2"/>
    <x v="11"/>
    <x v="3"/>
    <x v="1"/>
  </r>
  <r>
    <n v="24"/>
    <x v="23"/>
    <x v="1"/>
    <x v="2"/>
    <x v="12"/>
    <x v="3"/>
    <x v="1"/>
  </r>
  <r>
    <n v="25"/>
    <x v="24"/>
    <x v="1"/>
    <x v="2"/>
    <x v="13"/>
    <x v="3"/>
    <x v="1"/>
  </r>
  <r>
    <n v="26"/>
    <x v="25"/>
    <x v="0"/>
    <x v="0"/>
    <x v="14"/>
    <x v="3"/>
    <x v="0"/>
  </r>
  <r>
    <n v="27"/>
    <x v="26"/>
    <x v="1"/>
    <x v="2"/>
    <x v="2"/>
    <x v="3"/>
    <x v="1"/>
  </r>
  <r>
    <n v="28"/>
    <x v="27"/>
    <x v="1"/>
    <x v="2"/>
    <x v="2"/>
    <x v="3"/>
    <x v="1"/>
  </r>
  <r>
    <n v="29"/>
    <x v="28"/>
    <x v="1"/>
    <x v="3"/>
    <x v="3"/>
    <x v="3"/>
    <x v="1"/>
  </r>
  <r>
    <n v="30"/>
    <x v="29"/>
    <x v="0"/>
    <x v="1"/>
    <x v="15"/>
    <x v="3"/>
    <x v="1"/>
  </r>
  <r>
    <n v="31"/>
    <x v="30"/>
    <x v="0"/>
    <x v="4"/>
    <x v="4"/>
    <x v="3"/>
    <x v="1"/>
  </r>
  <r>
    <n v="32"/>
    <x v="31"/>
    <x v="0"/>
    <x v="0"/>
    <x v="8"/>
    <x v="3"/>
    <x v="0"/>
  </r>
  <r>
    <n v="33"/>
    <x v="32"/>
    <x v="0"/>
    <x v="0"/>
    <x v="8"/>
    <x v="3"/>
    <x v="0"/>
  </r>
  <r>
    <n v="34"/>
    <x v="33"/>
    <x v="0"/>
    <x v="0"/>
    <x v="8"/>
    <x v="3"/>
    <x v="0"/>
  </r>
  <r>
    <n v="35"/>
    <x v="34"/>
    <x v="0"/>
    <x v="0"/>
    <x v="8"/>
    <x v="3"/>
    <x v="0"/>
  </r>
  <r>
    <n v="36"/>
    <x v="35"/>
    <x v="1"/>
    <x v="2"/>
    <x v="16"/>
    <x v="4"/>
    <x v="1"/>
  </r>
  <r>
    <n v="37"/>
    <x v="36"/>
    <x v="0"/>
    <x v="0"/>
    <x v="17"/>
    <x v="4"/>
    <x v="0"/>
  </r>
  <r>
    <n v="38"/>
    <x v="37"/>
    <x v="0"/>
    <x v="0"/>
    <x v="18"/>
    <x v="4"/>
    <x v="0"/>
  </r>
  <r>
    <n v="39"/>
    <x v="38"/>
    <x v="1"/>
    <x v="2"/>
    <x v="2"/>
    <x v="4"/>
    <x v="1"/>
  </r>
  <r>
    <n v="40"/>
    <x v="39"/>
    <x v="1"/>
    <x v="2"/>
    <x v="2"/>
    <x v="4"/>
    <x v="1"/>
  </r>
  <r>
    <n v="41"/>
    <x v="40"/>
    <x v="0"/>
    <x v="0"/>
    <x v="15"/>
    <x v="4"/>
    <x v="0"/>
  </r>
  <r>
    <n v="42"/>
    <x v="41"/>
    <x v="1"/>
    <x v="1"/>
    <x v="15"/>
    <x v="5"/>
    <x v="1"/>
  </r>
  <r>
    <n v="43"/>
    <x v="42"/>
    <x v="0"/>
    <x v="0"/>
    <x v="8"/>
    <x v="5"/>
    <x v="0"/>
  </r>
  <r>
    <n v="44"/>
    <x v="43"/>
    <x v="0"/>
    <x v="0"/>
    <x v="8"/>
    <x v="5"/>
    <x v="0"/>
  </r>
  <r>
    <n v="45"/>
    <x v="44"/>
    <x v="0"/>
    <x v="0"/>
    <x v="8"/>
    <x v="5"/>
    <x v="0"/>
  </r>
  <r>
    <n v="46"/>
    <x v="45"/>
    <x v="0"/>
    <x v="0"/>
    <x v="8"/>
    <x v="5"/>
    <x v="0"/>
  </r>
  <r>
    <n v="47"/>
    <x v="46"/>
    <x v="1"/>
    <x v="1"/>
    <x v="19"/>
    <x v="6"/>
    <x v="1"/>
  </r>
  <r>
    <n v="48"/>
    <x v="47"/>
    <x v="1"/>
    <x v="2"/>
    <x v="14"/>
    <x v="6"/>
    <x v="1"/>
  </r>
  <r>
    <n v="49"/>
    <x v="48"/>
    <x v="0"/>
    <x v="0"/>
    <x v="8"/>
    <x v="6"/>
    <x v="0"/>
  </r>
  <r>
    <n v="50"/>
    <x v="49"/>
    <x v="0"/>
    <x v="0"/>
    <x v="8"/>
    <x v="6"/>
    <x v="0"/>
  </r>
  <r>
    <n v="51"/>
    <x v="50"/>
    <x v="0"/>
    <x v="2"/>
    <x v="20"/>
    <x v="7"/>
    <x v="1"/>
  </r>
  <r>
    <n v="52"/>
    <x v="51"/>
    <x v="1"/>
    <x v="2"/>
    <x v="21"/>
    <x v="7"/>
    <x v="1"/>
  </r>
  <r>
    <n v="53"/>
    <x v="52"/>
    <x v="0"/>
    <x v="0"/>
    <x v="22"/>
    <x v="7"/>
    <x v="0"/>
  </r>
  <r>
    <n v="54"/>
    <x v="53"/>
    <x v="0"/>
    <x v="0"/>
    <x v="10"/>
    <x v="7"/>
    <x v="0"/>
  </r>
  <r>
    <n v="55"/>
    <x v="54"/>
    <x v="0"/>
    <x v="4"/>
    <x v="4"/>
    <x v="7"/>
    <x v="1"/>
  </r>
  <r>
    <n v="56"/>
    <x v="55"/>
    <x v="0"/>
    <x v="0"/>
    <x v="8"/>
    <x v="7"/>
    <x v="0"/>
  </r>
  <r>
    <n v="57"/>
    <x v="56"/>
    <x v="0"/>
    <x v="0"/>
    <x v="8"/>
    <x v="7"/>
    <x v="0"/>
  </r>
  <r>
    <n v="58"/>
    <x v="57"/>
    <x v="0"/>
    <x v="0"/>
    <x v="8"/>
    <x v="7"/>
    <x v="0"/>
  </r>
  <r>
    <n v="59"/>
    <x v="58"/>
    <x v="0"/>
    <x v="0"/>
    <x v="8"/>
    <x v="7"/>
    <x v="0"/>
  </r>
  <r>
    <n v="60"/>
    <x v="59"/>
    <x v="0"/>
    <x v="2"/>
    <x v="9"/>
    <x v="8"/>
    <x v="1"/>
  </r>
  <r>
    <n v="61"/>
    <x v="60"/>
    <x v="0"/>
    <x v="0"/>
    <x v="1"/>
    <x v="8"/>
    <x v="0"/>
  </r>
  <r>
    <n v="62"/>
    <x v="61"/>
    <x v="1"/>
    <x v="2"/>
    <x v="2"/>
    <x v="8"/>
    <x v="1"/>
  </r>
  <r>
    <n v="63"/>
    <x v="62"/>
    <x v="1"/>
    <x v="4"/>
    <x v="4"/>
    <x v="8"/>
    <x v="1"/>
  </r>
  <r>
    <n v="64"/>
    <x v="63"/>
    <x v="0"/>
    <x v="0"/>
    <x v="8"/>
    <x v="8"/>
    <x v="0"/>
  </r>
  <r>
    <n v="65"/>
    <x v="64"/>
    <x v="0"/>
    <x v="0"/>
    <x v="8"/>
    <x v="8"/>
    <x v="0"/>
  </r>
  <r>
    <n v="66"/>
    <x v="65"/>
    <x v="0"/>
    <x v="0"/>
    <x v="8"/>
    <x v="8"/>
    <x v="0"/>
  </r>
  <r>
    <n v="67"/>
    <x v="66"/>
    <x v="0"/>
    <x v="0"/>
    <x v="8"/>
    <x v="8"/>
    <x v="0"/>
  </r>
  <r>
    <n v="68"/>
    <x v="67"/>
    <x v="1"/>
    <x v="2"/>
    <x v="23"/>
    <x v="9"/>
    <x v="1"/>
  </r>
  <r>
    <n v="69"/>
    <x v="68"/>
    <x v="1"/>
    <x v="5"/>
    <x v="14"/>
    <x v="9"/>
    <x v="0"/>
  </r>
  <r>
    <n v="70"/>
    <x v="69"/>
    <x v="0"/>
    <x v="0"/>
    <x v="3"/>
    <x v="9"/>
    <x v="0"/>
  </r>
  <r>
    <n v="71"/>
    <x v="70"/>
    <x v="0"/>
    <x v="4"/>
    <x v="4"/>
    <x v="9"/>
    <x v="1"/>
  </r>
  <r>
    <n v="72"/>
    <x v="71"/>
    <x v="0"/>
    <x v="0"/>
    <x v="8"/>
    <x v="9"/>
    <x v="0"/>
  </r>
  <r>
    <n v="73"/>
    <x v="72"/>
    <x v="0"/>
    <x v="0"/>
    <x v="8"/>
    <x v="9"/>
    <x v="0"/>
  </r>
  <r>
    <n v="74"/>
    <x v="73"/>
    <x v="0"/>
    <x v="0"/>
    <x v="8"/>
    <x v="9"/>
    <x v="0"/>
  </r>
  <r>
    <n v="75"/>
    <x v="74"/>
    <x v="0"/>
    <x v="0"/>
    <x v="8"/>
    <x v="9"/>
    <x v="0"/>
  </r>
  <r>
    <n v="76"/>
    <x v="75"/>
    <x v="0"/>
    <x v="0"/>
    <x v="8"/>
    <x v="9"/>
    <x v="0"/>
  </r>
  <r>
    <n v="77"/>
    <x v="76"/>
    <x v="0"/>
    <x v="0"/>
    <x v="8"/>
    <x v="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9C52CC-25DC-47D9-AA8E-E28431EC1BE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0:G43" firstHeaderRow="1" firstDataRow="3" firstDataCol="1"/>
  <pivotFields count="7">
    <pivotField showAll="0"/>
    <pivotField showAll="0"/>
    <pivotField axis="axisCol" showAll="0">
      <items count="3">
        <item x="0"/>
        <item x="1"/>
        <item t="default"/>
      </items>
    </pivotField>
    <pivotField dataField="1" numFmtId="3" showAll="0">
      <items count="7">
        <item x="0"/>
        <item x="5"/>
        <item x="4"/>
        <item x="1"/>
        <item x="3"/>
        <item x="2"/>
        <item t="default"/>
      </items>
    </pivotField>
    <pivotField dataField="1" numFmtId="3" showAll="0">
      <items count="25">
        <item x="8"/>
        <item x="5"/>
        <item x="4"/>
        <item x="10"/>
        <item x="22"/>
        <item x="15"/>
        <item x="3"/>
        <item x="2"/>
        <item x="18"/>
        <item x="21"/>
        <item x="17"/>
        <item x="14"/>
        <item x="7"/>
        <item x="19"/>
        <item x="1"/>
        <item x="9"/>
        <item x="20"/>
        <item x="6"/>
        <item x="16"/>
        <item x="13"/>
        <item x="23"/>
        <item x="0"/>
        <item x="12"/>
        <item x="11"/>
        <item t="default"/>
      </items>
    </pivotField>
    <pivotField axis="axisRow" showAll="0">
      <items count="11">
        <item x="0"/>
        <item x="1"/>
        <item x="2"/>
        <item x="3"/>
        <item x="4"/>
        <item x="5"/>
        <item x="6"/>
        <item x="7"/>
        <item x="8"/>
        <item x="9"/>
        <item t="default"/>
      </items>
    </pivotField>
    <pivotField showAll="0"/>
  </pivotFields>
  <rowFields count="1">
    <field x="5"/>
  </rowFields>
  <rowItems count="11">
    <i>
      <x/>
    </i>
    <i>
      <x v="1"/>
    </i>
    <i>
      <x v="2"/>
    </i>
    <i>
      <x v="3"/>
    </i>
    <i>
      <x v="4"/>
    </i>
    <i>
      <x v="5"/>
    </i>
    <i>
      <x v="6"/>
    </i>
    <i>
      <x v="7"/>
    </i>
    <i>
      <x v="8"/>
    </i>
    <i>
      <x v="9"/>
    </i>
    <i t="grand">
      <x/>
    </i>
  </rowItems>
  <colFields count="2">
    <field x="2"/>
    <field x="-2"/>
  </colFields>
  <colItems count="6">
    <i>
      <x/>
      <x/>
    </i>
    <i r="1" i="1">
      <x v="1"/>
    </i>
    <i>
      <x v="1"/>
      <x/>
    </i>
    <i r="1" i="1">
      <x v="1"/>
    </i>
    <i t="grand">
      <x/>
    </i>
    <i t="grand" i="1">
      <x/>
    </i>
  </colItems>
  <dataFields count="2">
    <dataField name="Base Price" fld="3" baseField="0" baseItem="0" numFmtId="3"/>
    <dataField name="Winning Price" fld="4" baseField="0" baseItem="0" numFmtId="3"/>
  </dataFields>
  <chartFormats count="4">
    <chartFormat chart="2" format="8" series="1">
      <pivotArea type="data" outline="0" fieldPosition="0">
        <references count="2">
          <reference field="4294967294" count="1" selected="0">
            <x v="0"/>
          </reference>
          <reference field="2" count="1" selected="0">
            <x v="0"/>
          </reference>
        </references>
      </pivotArea>
    </chartFormat>
    <chartFormat chart="2" format="10" series="1">
      <pivotArea type="data" outline="0" fieldPosition="0">
        <references count="2">
          <reference field="4294967294" count="1" selected="0">
            <x v="0"/>
          </reference>
          <reference field="2" count="1" selected="0">
            <x v="1"/>
          </reference>
        </references>
      </pivotArea>
    </chartFormat>
    <chartFormat chart="2" format="12" series="1">
      <pivotArea type="data" outline="0" fieldPosition="0">
        <references count="2">
          <reference field="4294967294" count="1" selected="0">
            <x v="1"/>
          </reference>
          <reference field="2" count="1" selected="0">
            <x v="1"/>
          </reference>
        </references>
      </pivotArea>
    </chartFormat>
    <chartFormat chart="2" format="13" series="1">
      <pivotArea type="data" outline="0" fieldPosition="0">
        <references count="2">
          <reference field="4294967294" count="1" selected="0">
            <x v="1"/>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864E2F-83F6-4DD6-A03B-D209C29E85E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6:I19" firstHeaderRow="1" firstDataRow="2" firstDataCol="1"/>
  <pivotFields count="7">
    <pivotField showAll="0"/>
    <pivotField dataField="1" showAll="0"/>
    <pivotField axis="axisCol" showAll="0">
      <items count="3">
        <item x="0"/>
        <item x="1"/>
        <item t="default"/>
      </items>
    </pivotField>
    <pivotField numFmtId="3" showAll="0"/>
    <pivotField numFmtId="3" showAll="0"/>
    <pivotField axis="axisRow" showAll="0">
      <items count="11">
        <item h="1" x="0"/>
        <item h="1" x="1"/>
        <item h="1" x="2"/>
        <item h="1" x="3"/>
        <item x="4"/>
        <item h="1" x="5"/>
        <item h="1" x="6"/>
        <item h="1" x="7"/>
        <item h="1" x="8"/>
        <item h="1" x="9"/>
        <item t="default"/>
      </items>
    </pivotField>
    <pivotField showAll="0"/>
  </pivotFields>
  <rowFields count="1">
    <field x="5"/>
  </rowFields>
  <rowItems count="2">
    <i>
      <x v="4"/>
    </i>
    <i t="grand">
      <x/>
    </i>
  </rowItems>
  <colFields count="1">
    <field x="2"/>
  </colFields>
  <colItems count="3">
    <i>
      <x/>
    </i>
    <i>
      <x v="1"/>
    </i>
    <i t="grand">
      <x/>
    </i>
  </colItems>
  <dataFields count="1">
    <dataField name="Indian Vs Overseas Players by Team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E0A048-508B-4382-949B-D6D0BA92B6B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14" firstHeaderRow="1" firstDataRow="2" firstDataCol="1"/>
  <pivotFields count="7">
    <pivotField showAll="0"/>
    <pivotField axis="axisRow" showAll="0" measureFilter="1" sortType="descending">
      <items count="78">
        <item x="51"/>
        <item x="29"/>
        <item x="4"/>
        <item x="37"/>
        <item x="8"/>
        <item x="56"/>
        <item x="73"/>
        <item x="38"/>
        <item x="19"/>
        <item x="43"/>
        <item x="9"/>
        <item x="13"/>
        <item x="46"/>
        <item x="55"/>
        <item x="22"/>
        <item x="47"/>
        <item x="31"/>
        <item x="45"/>
        <item x="14"/>
        <item x="27"/>
        <item x="68"/>
        <item x="61"/>
        <item x="17"/>
        <item x="62"/>
        <item x="35"/>
        <item x="63"/>
        <item x="0"/>
        <item x="34"/>
        <item x="71"/>
        <item x="54"/>
        <item x="11"/>
        <item x="67"/>
        <item x="20"/>
        <item x="12"/>
        <item x="60"/>
        <item x="23"/>
        <item x="3"/>
        <item x="5"/>
        <item x="42"/>
        <item x="44"/>
        <item x="36"/>
        <item x="24"/>
        <item x="40"/>
        <item x="74"/>
        <item x="10"/>
        <item x="72"/>
        <item x="33"/>
        <item x="1"/>
        <item x="49"/>
        <item x="15"/>
        <item x="21"/>
        <item x="41"/>
        <item x="26"/>
        <item x="2"/>
        <item x="30"/>
        <item x="50"/>
        <item x="52"/>
        <item x="16"/>
        <item x="75"/>
        <item x="69"/>
        <item x="7"/>
        <item x="32"/>
        <item x="66"/>
        <item x="70"/>
        <item x="76"/>
        <item x="53"/>
        <item x="25"/>
        <item x="28"/>
        <item x="18"/>
        <item x="59"/>
        <item x="65"/>
        <item x="57"/>
        <item x="64"/>
        <item x="48"/>
        <item x="39"/>
        <item x="58"/>
        <item x="6"/>
        <item t="default"/>
      </items>
      <autoSortScope>
        <pivotArea dataOnly="0" outline="0" fieldPosition="0">
          <references count="1">
            <reference field="4294967294" count="1" selected="0">
              <x v="0"/>
            </reference>
          </references>
        </pivotArea>
      </autoSortScope>
    </pivotField>
    <pivotField axis="axisCol" showAll="0">
      <items count="3">
        <item x="0"/>
        <item x="1"/>
        <item t="default"/>
      </items>
    </pivotField>
    <pivotField numFmtId="3" showAll="0"/>
    <pivotField dataField="1" numFmtId="3" showAll="0"/>
    <pivotField showAll="0"/>
    <pivotField showAll="0"/>
  </pivotFields>
  <rowFields count="1">
    <field x="1"/>
  </rowFields>
  <rowItems count="12">
    <i>
      <x v="14"/>
    </i>
    <i>
      <x v="35"/>
    </i>
    <i>
      <x v="47"/>
    </i>
    <i>
      <x v="26"/>
    </i>
    <i>
      <x v="31"/>
    </i>
    <i>
      <x v="41"/>
    </i>
    <i>
      <x v="24"/>
    </i>
    <i>
      <x v="10"/>
    </i>
    <i>
      <x v="55"/>
    </i>
    <i>
      <x v="69"/>
    </i>
    <i>
      <x v="22"/>
    </i>
    <i t="grand">
      <x/>
    </i>
  </rowItems>
  <colFields count="1">
    <field x="2"/>
  </colFields>
  <colItems count="3">
    <i>
      <x/>
    </i>
    <i>
      <x v="1"/>
    </i>
    <i t="grand">
      <x/>
    </i>
  </colItems>
  <dataFields count="1">
    <dataField name="Top Expensive Players " fld="4" baseField="1" baseItem="0" numFmtId="164"/>
  </dataField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921406-6D8D-4F31-943F-C1F7237648D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61:D73" firstHeaderRow="1" firstDataRow="2" firstDataCol="1"/>
  <pivotFields count="7">
    <pivotField showAll="0"/>
    <pivotField showAll="0"/>
    <pivotField showAll="0"/>
    <pivotField numFmtId="3" showAll="0"/>
    <pivotField dataField="1" numFmtId="3" showAll="0"/>
    <pivotField axis="axisRow" showAll="0">
      <items count="11">
        <item x="0"/>
        <item x="1"/>
        <item x="2"/>
        <item x="3"/>
        <item x="4"/>
        <item x="5"/>
        <item x="6"/>
        <item x="7"/>
        <item x="8"/>
        <item x="9"/>
        <item t="default"/>
      </items>
    </pivotField>
    <pivotField axis="axisCol" showAll="0">
      <items count="3">
        <item x="1"/>
        <item x="0"/>
        <item t="default"/>
      </items>
    </pivotField>
  </pivotFields>
  <rowFields count="1">
    <field x="5"/>
  </rowFields>
  <rowItems count="11">
    <i>
      <x/>
    </i>
    <i>
      <x v="1"/>
    </i>
    <i>
      <x v="2"/>
    </i>
    <i>
      <x v="3"/>
    </i>
    <i>
      <x v="4"/>
    </i>
    <i>
      <x v="5"/>
    </i>
    <i>
      <x v="6"/>
    </i>
    <i>
      <x v="7"/>
    </i>
    <i>
      <x v="8"/>
    </i>
    <i>
      <x v="9"/>
    </i>
    <i t="grand">
      <x/>
    </i>
  </rowItems>
  <colFields count="1">
    <field x="6"/>
  </colFields>
  <colItems count="3">
    <i>
      <x/>
    </i>
    <i>
      <x v="1"/>
    </i>
    <i t="grand">
      <x/>
    </i>
  </colItems>
  <dataFields count="1">
    <dataField name="Sum of Winning Bid in Rs" fld="4" baseField="5" baseItem="0" numFmtId="164"/>
  </dataFields>
  <chartFormats count="4">
    <chartFormat chart="2" format="4" series="1">
      <pivotArea type="data" outline="0" fieldPosition="0">
        <references count="2">
          <reference field="4294967294" count="1" selected="0">
            <x v="0"/>
          </reference>
          <reference field="6" count="1" selected="0">
            <x v="0"/>
          </reference>
        </references>
      </pivotArea>
    </chartFormat>
    <chartFormat chart="2" format="5" series="1">
      <pivotArea type="data" outline="0" fieldPosition="0">
        <references count="2">
          <reference field="4294967294" count="1" selected="0">
            <x v="0"/>
          </reference>
          <reference field="6" count="1" selected="0">
            <x v="1"/>
          </reference>
        </references>
      </pivotArea>
    </chartFormat>
    <chartFormat chart="7" format="4" series="1">
      <pivotArea type="data" outline="0" fieldPosition="0">
        <references count="2">
          <reference field="4294967294" count="1" selected="0">
            <x v="0"/>
          </reference>
          <reference field="6" count="1" selected="0">
            <x v="0"/>
          </reference>
        </references>
      </pivotArea>
    </chartFormat>
    <chartFormat chart="7" format="5"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15FDD0-605F-429C-ACD3-C872E6B00B1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D28" firstHeaderRow="1" firstDataRow="2" firstDataCol="1"/>
  <pivotFields count="7">
    <pivotField showAll="0"/>
    <pivotField dataField="1" showAll="0"/>
    <pivotField showAll="0"/>
    <pivotField numFmtId="3" showAll="0"/>
    <pivotField numFmtId="3" showAll="0"/>
    <pivotField axis="axisRow" showAll="0">
      <items count="11">
        <item x="0"/>
        <item x="1"/>
        <item x="2"/>
        <item x="3"/>
        <item x="4"/>
        <item x="5"/>
        <item x="6"/>
        <item x="7"/>
        <item x="8"/>
        <item x="9"/>
        <item t="default"/>
      </items>
    </pivotField>
    <pivotField axis="axisCol" showAll="0">
      <items count="3">
        <item x="1"/>
        <item x="0"/>
        <item t="default"/>
      </items>
    </pivotField>
  </pivotFields>
  <rowFields count="1">
    <field x="5"/>
  </rowFields>
  <rowItems count="11">
    <i>
      <x/>
    </i>
    <i>
      <x v="1"/>
    </i>
    <i>
      <x v="2"/>
    </i>
    <i>
      <x v="3"/>
    </i>
    <i>
      <x v="4"/>
    </i>
    <i>
      <x v="5"/>
    </i>
    <i>
      <x v="6"/>
    </i>
    <i>
      <x v="7"/>
    </i>
    <i>
      <x v="8"/>
    </i>
    <i>
      <x v="9"/>
    </i>
    <i t="grand">
      <x/>
    </i>
  </rowItems>
  <colFields count="1">
    <field x="6"/>
  </colFields>
  <colItems count="3">
    <i>
      <x/>
    </i>
    <i>
      <x v="1"/>
    </i>
    <i t="grand">
      <x/>
    </i>
  </colItems>
  <dataFields count="1">
    <dataField name="Capped vs Uncapped by teams" fld="1" subtotal="count" baseField="5"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E2B242-8D60-4BBD-BB80-255258D3AE6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61:I65" firstHeaderRow="1" firstDataRow="2" firstDataCol="1"/>
  <pivotFields count="7">
    <pivotField showAll="0"/>
    <pivotField dataField="1" showAll="0"/>
    <pivotField axis="axisRow" showAll="0">
      <items count="3">
        <item x="0"/>
        <item x="1"/>
        <item t="default"/>
      </items>
    </pivotField>
    <pivotField numFmtId="3" showAll="0"/>
    <pivotField numFmtId="3" showAll="0"/>
    <pivotField showAll="0">
      <items count="11">
        <item x="0"/>
        <item x="1"/>
        <item x="2"/>
        <item x="3"/>
        <item x="4"/>
        <item x="5"/>
        <item x="6"/>
        <item x="7"/>
        <item x="8"/>
        <item x="9"/>
        <item t="default"/>
      </items>
    </pivotField>
    <pivotField axis="axisCol" showAll="0">
      <items count="3">
        <item x="1"/>
        <item x="0"/>
        <item t="default"/>
      </items>
    </pivotField>
  </pivotFields>
  <rowFields count="1">
    <field x="2"/>
  </rowFields>
  <rowItems count="3">
    <i>
      <x/>
    </i>
    <i>
      <x v="1"/>
    </i>
    <i t="grand">
      <x/>
    </i>
  </rowItems>
  <colFields count="1">
    <field x="6"/>
  </colFields>
  <colItems count="3">
    <i>
      <x/>
    </i>
    <i>
      <x v="1"/>
    </i>
    <i t="grand">
      <x/>
    </i>
  </colItems>
  <dataFields count="1">
    <dataField name="Count of Name" fld="1" subtotal="count" baseField="0" baseItem="0"/>
  </dataFields>
  <chartFormats count="6">
    <chartFormat chart="10" format="8" series="1">
      <pivotArea type="data" outline="0" fieldPosition="0">
        <references count="2">
          <reference field="4294967294" count="1" selected="0">
            <x v="0"/>
          </reference>
          <reference field="6" count="1" selected="0">
            <x v="0"/>
          </reference>
        </references>
      </pivotArea>
    </chartFormat>
    <chartFormat chart="10" format="9">
      <pivotArea type="data" outline="0" fieldPosition="0">
        <references count="3">
          <reference field="4294967294" count="1" selected="0">
            <x v="0"/>
          </reference>
          <reference field="2" count="1" selected="0">
            <x v="0"/>
          </reference>
          <reference field="6" count="1" selected="0">
            <x v="0"/>
          </reference>
        </references>
      </pivotArea>
    </chartFormat>
    <chartFormat chart="10" format="10">
      <pivotArea type="data" outline="0" fieldPosition="0">
        <references count="3">
          <reference field="4294967294" count="1" selected="0">
            <x v="0"/>
          </reference>
          <reference field="2" count="1" selected="0">
            <x v="1"/>
          </reference>
          <reference field="6" count="1" selected="0">
            <x v="0"/>
          </reference>
        </references>
      </pivotArea>
    </chartFormat>
    <chartFormat chart="10" format="11" series="1">
      <pivotArea type="data" outline="0" fieldPosition="0">
        <references count="2">
          <reference field="4294967294" count="1" selected="0">
            <x v="0"/>
          </reference>
          <reference field="6" count="1" selected="0">
            <x v="1"/>
          </reference>
        </references>
      </pivotArea>
    </chartFormat>
    <chartFormat chart="10" format="12">
      <pivotArea type="data" outline="0" fieldPosition="0">
        <references count="3">
          <reference field="4294967294" count="1" selected="0">
            <x v="0"/>
          </reference>
          <reference field="2" count="1" selected="0">
            <x v="0"/>
          </reference>
          <reference field="6" count="1" selected="0">
            <x v="1"/>
          </reference>
        </references>
      </pivotArea>
    </chartFormat>
    <chartFormat chart="10" format="13">
      <pivotArea type="data" outline="0" fieldPosition="0">
        <references count="3">
          <reference field="4294967294" count="1" selected="0">
            <x v="0"/>
          </reference>
          <reference field="2" count="1" selected="0">
            <x v="1"/>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437D86-657D-4B6A-8E11-E6B6209F6D7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1:I13" firstHeaderRow="1" firstDataRow="2" firstDataCol="1"/>
  <pivotFields count="7">
    <pivotField showAll="0"/>
    <pivotField showAll="0"/>
    <pivotField axis="axisCol" showAll="0">
      <items count="3">
        <item x="0"/>
        <item x="1"/>
        <item t="default"/>
      </items>
    </pivotField>
    <pivotField numFmtId="3" showAll="0"/>
    <pivotField dataField="1" numFmtId="3" showAll="0"/>
    <pivotField axis="axisRow" showAll="0">
      <items count="11">
        <item x="0"/>
        <item x="1"/>
        <item x="2"/>
        <item x="3"/>
        <item x="4"/>
        <item x="5"/>
        <item x="6"/>
        <item x="7"/>
        <item x="8"/>
        <item x="9"/>
        <item t="default"/>
      </items>
    </pivotField>
    <pivotField showAll="0"/>
  </pivotFields>
  <rowFields count="1">
    <field x="5"/>
  </rowFields>
  <rowItems count="11">
    <i>
      <x/>
    </i>
    <i>
      <x v="1"/>
    </i>
    <i>
      <x v="2"/>
    </i>
    <i>
      <x v="3"/>
    </i>
    <i>
      <x v="4"/>
    </i>
    <i>
      <x v="5"/>
    </i>
    <i>
      <x v="6"/>
    </i>
    <i>
      <x v="7"/>
    </i>
    <i>
      <x v="8"/>
    </i>
    <i>
      <x v="9"/>
    </i>
    <i t="grand">
      <x/>
    </i>
  </rowItems>
  <colFields count="1">
    <field x="2"/>
  </colFields>
  <colItems count="3">
    <i>
      <x/>
    </i>
    <i>
      <x v="1"/>
    </i>
    <i t="grand">
      <x/>
    </i>
  </colItems>
  <dataFields count="1">
    <dataField name="Total Spend by teams" fld="4" baseField="5" baseItem="0" numFmtId="164"/>
  </dataFields>
  <chartFormats count="2">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BCD3CD5-9B84-4266-8C28-1A6460C3E90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G58" firstHeaderRow="1" firstDataRow="3" firstDataCol="1"/>
  <pivotFields count="7">
    <pivotField showAll="0"/>
    <pivotField showAll="0"/>
    <pivotField showAll="0"/>
    <pivotField dataField="1" numFmtId="3" showAll="0"/>
    <pivotField dataField="1" numFmtId="3" showAll="0"/>
    <pivotField axis="axisRow" showAll="0">
      <items count="11">
        <item x="0"/>
        <item x="1"/>
        <item x="2"/>
        <item x="3"/>
        <item x="4"/>
        <item x="5"/>
        <item x="6"/>
        <item x="7"/>
        <item x="8"/>
        <item x="9"/>
        <item t="default"/>
      </items>
    </pivotField>
    <pivotField axis="axisCol" showAll="0">
      <items count="3">
        <item x="1"/>
        <item x="0"/>
        <item t="default"/>
      </items>
    </pivotField>
  </pivotFields>
  <rowFields count="1">
    <field x="5"/>
  </rowFields>
  <rowItems count="11">
    <i>
      <x/>
    </i>
    <i>
      <x v="1"/>
    </i>
    <i>
      <x v="2"/>
    </i>
    <i>
      <x v="3"/>
    </i>
    <i>
      <x v="4"/>
    </i>
    <i>
      <x v="5"/>
    </i>
    <i>
      <x v="6"/>
    </i>
    <i>
      <x v="7"/>
    </i>
    <i>
      <x v="8"/>
    </i>
    <i>
      <x v="9"/>
    </i>
    <i t="grand">
      <x/>
    </i>
  </rowItems>
  <colFields count="2">
    <field x="6"/>
    <field x="-2"/>
  </colFields>
  <colItems count="6">
    <i>
      <x/>
      <x/>
    </i>
    <i r="1" i="1">
      <x v="1"/>
    </i>
    <i>
      <x v="1"/>
      <x/>
    </i>
    <i r="1" i="1">
      <x v="1"/>
    </i>
    <i t="grand">
      <x/>
    </i>
    <i t="grand" i="1">
      <x/>
    </i>
  </colItems>
  <dataFields count="2">
    <dataField name="Sum of BasePrices in Rs" fld="3" baseField="0" baseItem="0" numFmtId="3"/>
    <dataField name="Sum of Winning Bid in Rs" fld="4"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tionality" xr10:uid="{CD346E7E-D8A1-4CAA-8E08-856A996A3D52}" sourceName="Nationality">
  <pivotTables>
    <pivotTable tabId="2" name="PivotTable3"/>
  </pivotTables>
  <data>
    <tabular pivotCacheId="197585252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Name" xr10:uid="{67074098-E66B-40F7-A128-04DD64A44597}" sourceName="TeamName">
  <pivotTables>
    <pivotTable tabId="2" name="PivotTable6"/>
    <pivotTable tabId="2" name="PivotTable3"/>
  </pivotTables>
  <data>
    <tabular pivotCacheId="1975852520">
      <items count="10">
        <i x="0" s="1"/>
        <i x="1" s="1"/>
        <i x="2" s="1"/>
        <i x="3" s="1"/>
        <i x="4" s="1"/>
        <i x="5" s="1"/>
        <i x="6" s="1"/>
        <i x="7" s="1"/>
        <i x="8"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pped_UnCapped" xr10:uid="{611F81FA-3633-4D8E-8BFF-7F1E5EA6B29C}" sourceName="Capped/UnCapped">
  <pivotTables>
    <pivotTable tabId="2" name="PivotTable13"/>
    <pivotTable tabId="2" name="PivotTable12"/>
  </pivotTables>
  <data>
    <tabular pivotCacheId="197585252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tionality" xr10:uid="{B50A4ABC-4D1C-4575-B87A-B18001291672}" cache="Slicer_Nationality" caption="Nationality" rowHeight="234950"/>
  <slicer name="TeamName" xr10:uid="{507DD64E-CBB2-4EA4-8EBC-36BB23E56A41}" cache="Slicer_TeamName" caption="TeamName" rowHeight="234950"/>
  <slicer name="Capped/UnCapped" xr10:uid="{E6FADF6B-00A4-4E27-8D9E-39EEDF9614F2}" cache="Slicer_Capped_UnCapped" caption="Capped/UnCapped"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07B87-4A4E-4B35-A912-96BB5F9E3ED2}">
  <dimension ref="A1:G78"/>
  <sheetViews>
    <sheetView topLeftCell="A53" workbookViewId="0">
      <selection activeCell="F74" sqref="F74"/>
    </sheetView>
  </sheetViews>
  <sheetFormatPr defaultRowHeight="14.4" x14ac:dyDescent="0.3"/>
  <cols>
    <col min="1" max="1" width="9.33203125" bestFit="1" customWidth="1"/>
    <col min="2" max="2" width="24" bestFit="1" customWidth="1"/>
    <col min="3" max="3" width="15" bestFit="1" customWidth="1"/>
    <col min="4" max="5" width="23.33203125" bestFit="1" customWidth="1"/>
    <col min="6" max="6" width="31.109375" bestFit="1" customWidth="1"/>
    <col min="7" max="7" width="24.44140625" bestFit="1" customWidth="1"/>
  </cols>
  <sheetData>
    <row r="1" spans="1:7" x14ac:dyDescent="0.3">
      <c r="A1" s="2" t="s">
        <v>97</v>
      </c>
      <c r="B1" s="2" t="s">
        <v>0</v>
      </c>
      <c r="C1" s="2" t="s">
        <v>1</v>
      </c>
      <c r="D1" s="2" t="s">
        <v>2</v>
      </c>
      <c r="E1" s="2" t="s">
        <v>3</v>
      </c>
      <c r="F1" s="2" t="s">
        <v>4</v>
      </c>
      <c r="G1" s="2" t="s">
        <v>5</v>
      </c>
    </row>
    <row r="2" spans="1:7" x14ac:dyDescent="0.3">
      <c r="A2">
        <v>1</v>
      </c>
      <c r="B2" t="s">
        <v>6</v>
      </c>
      <c r="C2" t="s">
        <v>7</v>
      </c>
      <c r="D2" s="1">
        <v>3000000</v>
      </c>
      <c r="E2" s="1">
        <v>142000000</v>
      </c>
      <c r="F2" t="s">
        <v>8</v>
      </c>
      <c r="G2" t="s">
        <v>9</v>
      </c>
    </row>
    <row r="3" spans="1:7" x14ac:dyDescent="0.3">
      <c r="A3">
        <v>2</v>
      </c>
      <c r="B3" t="s">
        <v>10</v>
      </c>
      <c r="C3" t="s">
        <v>7</v>
      </c>
      <c r="D3" s="1">
        <v>3000000</v>
      </c>
      <c r="E3" s="1">
        <v>142000000</v>
      </c>
      <c r="F3" t="s">
        <v>8</v>
      </c>
      <c r="G3" t="s">
        <v>9</v>
      </c>
    </row>
    <row r="4" spans="1:7" x14ac:dyDescent="0.3">
      <c r="A4">
        <v>3</v>
      </c>
      <c r="B4" t="s">
        <v>11</v>
      </c>
      <c r="C4" t="s">
        <v>7</v>
      </c>
      <c r="D4" s="1">
        <v>10000000</v>
      </c>
      <c r="E4" s="1">
        <v>52000000</v>
      </c>
      <c r="F4" t="s">
        <v>8</v>
      </c>
      <c r="G4" t="s">
        <v>12</v>
      </c>
    </row>
    <row r="5" spans="1:7" x14ac:dyDescent="0.3">
      <c r="A5">
        <v>4</v>
      </c>
      <c r="B5" t="s">
        <v>13</v>
      </c>
      <c r="C5" t="s">
        <v>14</v>
      </c>
      <c r="D5" s="1">
        <v>20000000</v>
      </c>
      <c r="E5" s="1">
        <v>20000000</v>
      </c>
      <c r="F5" t="s">
        <v>8</v>
      </c>
      <c r="G5" t="s">
        <v>12</v>
      </c>
    </row>
    <row r="6" spans="1:7" x14ac:dyDescent="0.3">
      <c r="A6">
        <v>5</v>
      </c>
      <c r="B6" t="s">
        <v>15</v>
      </c>
      <c r="C6" t="s">
        <v>14</v>
      </c>
      <c r="D6" s="1">
        <v>20000000</v>
      </c>
      <c r="E6" s="1">
        <v>20000000</v>
      </c>
      <c r="F6" t="s">
        <v>8</v>
      </c>
      <c r="G6" t="s">
        <v>12</v>
      </c>
    </row>
    <row r="7" spans="1:7" x14ac:dyDescent="0.3">
      <c r="A7">
        <v>6</v>
      </c>
      <c r="B7" t="s">
        <v>16</v>
      </c>
      <c r="C7" t="s">
        <v>14</v>
      </c>
      <c r="D7" s="1">
        <v>15000000</v>
      </c>
      <c r="E7" s="1">
        <v>15000000</v>
      </c>
      <c r="F7" t="s">
        <v>8</v>
      </c>
      <c r="G7" t="s">
        <v>12</v>
      </c>
    </row>
    <row r="8" spans="1:7" x14ac:dyDescent="0.3">
      <c r="A8">
        <v>7</v>
      </c>
      <c r="B8" t="s">
        <v>17</v>
      </c>
      <c r="C8" t="s">
        <v>14</v>
      </c>
      <c r="D8" s="1">
        <v>7500000</v>
      </c>
      <c r="E8" s="1">
        <v>7500000</v>
      </c>
      <c r="F8" t="s">
        <v>8</v>
      </c>
      <c r="G8" t="s">
        <v>12</v>
      </c>
    </row>
    <row r="9" spans="1:7" x14ac:dyDescent="0.3">
      <c r="A9">
        <v>8</v>
      </c>
      <c r="B9" t="s">
        <v>18</v>
      </c>
      <c r="C9" t="s">
        <v>7</v>
      </c>
      <c r="D9" s="1">
        <v>7500000</v>
      </c>
      <c r="E9" s="1">
        <v>7500000</v>
      </c>
      <c r="F9" t="s">
        <v>8</v>
      </c>
      <c r="G9" t="s">
        <v>12</v>
      </c>
    </row>
    <row r="10" spans="1:7" x14ac:dyDescent="0.3">
      <c r="A10">
        <v>9</v>
      </c>
      <c r="B10" t="s">
        <v>19</v>
      </c>
      <c r="C10" t="s">
        <v>7</v>
      </c>
      <c r="D10" s="1">
        <v>3000000</v>
      </c>
      <c r="E10" s="1">
        <v>4000000</v>
      </c>
      <c r="F10" t="s">
        <v>8</v>
      </c>
      <c r="G10" t="s">
        <v>9</v>
      </c>
    </row>
    <row r="11" spans="1:7" x14ac:dyDescent="0.3">
      <c r="A11">
        <v>10</v>
      </c>
      <c r="B11" t="s">
        <v>20</v>
      </c>
      <c r="C11" t="s">
        <v>7</v>
      </c>
      <c r="D11" s="1">
        <v>3000000</v>
      </c>
      <c r="E11" s="1">
        <v>84000000</v>
      </c>
      <c r="F11" t="s">
        <v>21</v>
      </c>
      <c r="G11" t="s">
        <v>9</v>
      </c>
    </row>
    <row r="12" spans="1:7" x14ac:dyDescent="0.3">
      <c r="A12">
        <v>11</v>
      </c>
      <c r="B12" t="s">
        <v>22</v>
      </c>
      <c r="C12" t="s">
        <v>14</v>
      </c>
      <c r="D12" s="1">
        <v>7500000</v>
      </c>
      <c r="E12" s="1">
        <v>40000000</v>
      </c>
      <c r="F12" t="s">
        <v>21</v>
      </c>
      <c r="G12" t="s">
        <v>12</v>
      </c>
    </row>
    <row r="13" spans="1:7" x14ac:dyDescent="0.3">
      <c r="A13">
        <v>12</v>
      </c>
      <c r="B13" t="s">
        <v>23</v>
      </c>
      <c r="C13" t="s">
        <v>14</v>
      </c>
      <c r="D13" s="1">
        <v>20000000</v>
      </c>
      <c r="E13" s="1">
        <v>20000000</v>
      </c>
      <c r="F13" t="s">
        <v>21</v>
      </c>
      <c r="G13" t="s">
        <v>12</v>
      </c>
    </row>
    <row r="14" spans="1:7" x14ac:dyDescent="0.3">
      <c r="A14">
        <v>13</v>
      </c>
      <c r="B14" t="s">
        <v>24</v>
      </c>
      <c r="C14" t="s">
        <v>14</v>
      </c>
      <c r="D14" s="1">
        <v>20000000</v>
      </c>
      <c r="E14" s="1">
        <v>20000000</v>
      </c>
      <c r="F14" t="s">
        <v>21</v>
      </c>
      <c r="G14" t="s">
        <v>12</v>
      </c>
    </row>
    <row r="15" spans="1:7" x14ac:dyDescent="0.3">
      <c r="A15">
        <v>14</v>
      </c>
      <c r="B15" t="s">
        <v>25</v>
      </c>
      <c r="C15" t="s">
        <v>14</v>
      </c>
      <c r="D15" s="1">
        <v>20000000</v>
      </c>
      <c r="E15" s="1">
        <v>20000000</v>
      </c>
      <c r="F15" t="s">
        <v>21</v>
      </c>
      <c r="G15" t="s">
        <v>12</v>
      </c>
    </row>
    <row r="16" spans="1:7" x14ac:dyDescent="0.3">
      <c r="A16">
        <v>15</v>
      </c>
      <c r="B16" t="s">
        <v>26</v>
      </c>
      <c r="C16" t="s">
        <v>14</v>
      </c>
      <c r="D16" s="1">
        <v>20000000</v>
      </c>
      <c r="E16" s="1">
        <v>20000000</v>
      </c>
      <c r="F16" t="s">
        <v>21</v>
      </c>
      <c r="G16" t="s">
        <v>12</v>
      </c>
    </row>
    <row r="17" spans="1:7" x14ac:dyDescent="0.3">
      <c r="A17">
        <v>16</v>
      </c>
      <c r="B17" t="s">
        <v>27</v>
      </c>
      <c r="C17" t="s">
        <v>7</v>
      </c>
      <c r="D17" s="1">
        <v>7500000</v>
      </c>
      <c r="E17" s="1">
        <v>7500000</v>
      </c>
      <c r="F17" t="s">
        <v>21</v>
      </c>
      <c r="G17" t="s">
        <v>12</v>
      </c>
    </row>
    <row r="18" spans="1:7" x14ac:dyDescent="0.3">
      <c r="A18">
        <v>17</v>
      </c>
      <c r="B18" t="s">
        <v>28</v>
      </c>
      <c r="C18" t="s">
        <v>7</v>
      </c>
      <c r="D18" s="1">
        <v>3000000</v>
      </c>
      <c r="E18" s="1">
        <v>3000000</v>
      </c>
      <c r="F18" t="s">
        <v>21</v>
      </c>
      <c r="G18" t="s">
        <v>9</v>
      </c>
    </row>
    <row r="19" spans="1:7" x14ac:dyDescent="0.3">
      <c r="A19">
        <v>18</v>
      </c>
      <c r="B19" t="s">
        <v>29</v>
      </c>
      <c r="C19" t="s">
        <v>14</v>
      </c>
      <c r="D19" s="1">
        <v>20000000</v>
      </c>
      <c r="E19" s="1">
        <v>70000000</v>
      </c>
      <c r="F19" t="s">
        <v>30</v>
      </c>
      <c r="G19" t="s">
        <v>12</v>
      </c>
    </row>
    <row r="20" spans="1:7" x14ac:dyDescent="0.3">
      <c r="A20">
        <v>19</v>
      </c>
      <c r="B20" t="s">
        <v>31</v>
      </c>
      <c r="C20" t="s">
        <v>14</v>
      </c>
      <c r="D20" s="1">
        <v>20000000</v>
      </c>
      <c r="E20" s="1">
        <v>20000000</v>
      </c>
      <c r="F20" t="s">
        <v>30</v>
      </c>
      <c r="G20" t="s">
        <v>12</v>
      </c>
    </row>
    <row r="21" spans="1:7" x14ac:dyDescent="0.3">
      <c r="A21">
        <v>20</v>
      </c>
      <c r="B21" t="s">
        <v>32</v>
      </c>
      <c r="C21" t="s">
        <v>7</v>
      </c>
      <c r="D21" s="1">
        <v>3000000</v>
      </c>
      <c r="E21" s="1">
        <v>9000000</v>
      </c>
      <c r="F21" t="s">
        <v>30</v>
      </c>
      <c r="G21" t="s">
        <v>9</v>
      </c>
    </row>
    <row r="22" spans="1:7" x14ac:dyDescent="0.3">
      <c r="A22">
        <v>21</v>
      </c>
      <c r="B22" t="s">
        <v>33</v>
      </c>
      <c r="C22" t="s">
        <v>14</v>
      </c>
      <c r="D22" s="1">
        <v>7500000</v>
      </c>
      <c r="E22" s="1">
        <v>7500000</v>
      </c>
      <c r="F22" t="s">
        <v>30</v>
      </c>
      <c r="G22" t="s">
        <v>12</v>
      </c>
    </row>
    <row r="23" spans="1:7" x14ac:dyDescent="0.3">
      <c r="A23">
        <v>22</v>
      </c>
      <c r="B23" t="s">
        <v>34</v>
      </c>
      <c r="C23" t="s">
        <v>7</v>
      </c>
      <c r="D23" s="1">
        <v>3000000</v>
      </c>
      <c r="E23" s="1">
        <v>3000000</v>
      </c>
      <c r="F23" t="s">
        <v>30</v>
      </c>
      <c r="G23" t="s">
        <v>9</v>
      </c>
    </row>
    <row r="24" spans="1:7" x14ac:dyDescent="0.3">
      <c r="A24">
        <v>23</v>
      </c>
      <c r="B24" t="s">
        <v>35</v>
      </c>
      <c r="C24" t="s">
        <v>14</v>
      </c>
      <c r="D24" s="1">
        <v>20000000</v>
      </c>
      <c r="E24" s="1">
        <v>252000000</v>
      </c>
      <c r="F24" t="s">
        <v>36</v>
      </c>
      <c r="G24" t="s">
        <v>12</v>
      </c>
    </row>
    <row r="25" spans="1:7" x14ac:dyDescent="0.3">
      <c r="A25">
        <v>24</v>
      </c>
      <c r="B25" t="s">
        <v>37</v>
      </c>
      <c r="C25" t="s">
        <v>14</v>
      </c>
      <c r="D25" s="1">
        <v>20000000</v>
      </c>
      <c r="E25" s="1">
        <v>180000000</v>
      </c>
      <c r="F25" t="s">
        <v>36</v>
      </c>
      <c r="G25" t="s">
        <v>12</v>
      </c>
    </row>
    <row r="26" spans="1:7" x14ac:dyDescent="0.3">
      <c r="A26">
        <v>25</v>
      </c>
      <c r="B26" t="s">
        <v>38</v>
      </c>
      <c r="C26" t="s">
        <v>14</v>
      </c>
      <c r="D26" s="1">
        <v>20000000</v>
      </c>
      <c r="E26" s="1">
        <v>92000000</v>
      </c>
      <c r="F26" t="s">
        <v>36</v>
      </c>
      <c r="G26" t="s">
        <v>12</v>
      </c>
    </row>
    <row r="27" spans="1:7" x14ac:dyDescent="0.3">
      <c r="A27">
        <v>26</v>
      </c>
      <c r="B27" t="s">
        <v>39</v>
      </c>
      <c r="C27" t="s">
        <v>7</v>
      </c>
      <c r="D27" s="1">
        <v>3000000</v>
      </c>
      <c r="E27" s="1">
        <v>30000000</v>
      </c>
      <c r="F27" t="s">
        <v>36</v>
      </c>
      <c r="G27" t="s">
        <v>9</v>
      </c>
    </row>
    <row r="28" spans="1:7" x14ac:dyDescent="0.3">
      <c r="A28">
        <v>27</v>
      </c>
      <c r="B28" t="s">
        <v>40</v>
      </c>
      <c r="C28" t="s">
        <v>14</v>
      </c>
      <c r="D28" s="1">
        <v>20000000</v>
      </c>
      <c r="E28" s="1">
        <v>20000000</v>
      </c>
      <c r="F28" t="s">
        <v>36</v>
      </c>
      <c r="G28" t="s">
        <v>12</v>
      </c>
    </row>
    <row r="29" spans="1:7" x14ac:dyDescent="0.3">
      <c r="A29">
        <v>28</v>
      </c>
      <c r="B29" t="s">
        <v>41</v>
      </c>
      <c r="C29" t="s">
        <v>14</v>
      </c>
      <c r="D29" s="1">
        <v>20000000</v>
      </c>
      <c r="E29" s="1">
        <v>20000000</v>
      </c>
      <c r="F29" t="s">
        <v>36</v>
      </c>
      <c r="G29" t="s">
        <v>12</v>
      </c>
    </row>
    <row r="30" spans="1:7" x14ac:dyDescent="0.3">
      <c r="A30">
        <v>29</v>
      </c>
      <c r="B30" t="s">
        <v>42</v>
      </c>
      <c r="C30" t="s">
        <v>14</v>
      </c>
      <c r="D30" s="1">
        <v>15000000</v>
      </c>
      <c r="E30" s="1">
        <v>15000000</v>
      </c>
      <c r="F30" t="s">
        <v>36</v>
      </c>
      <c r="G30" t="s">
        <v>12</v>
      </c>
    </row>
    <row r="31" spans="1:7" x14ac:dyDescent="0.3">
      <c r="A31">
        <v>30</v>
      </c>
      <c r="B31" t="s">
        <v>43</v>
      </c>
      <c r="C31" t="s">
        <v>7</v>
      </c>
      <c r="D31" s="1">
        <v>10000000</v>
      </c>
      <c r="E31" s="1">
        <v>10000000</v>
      </c>
      <c r="F31" t="s">
        <v>36</v>
      </c>
      <c r="G31" t="s">
        <v>12</v>
      </c>
    </row>
    <row r="32" spans="1:7" x14ac:dyDescent="0.3">
      <c r="A32">
        <v>31</v>
      </c>
      <c r="B32" t="s">
        <v>44</v>
      </c>
      <c r="C32" t="s">
        <v>7</v>
      </c>
      <c r="D32" s="1">
        <v>7500000</v>
      </c>
      <c r="E32" s="1">
        <v>7500000</v>
      </c>
      <c r="F32" t="s">
        <v>36</v>
      </c>
      <c r="G32" t="s">
        <v>12</v>
      </c>
    </row>
    <row r="33" spans="1:7" x14ac:dyDescent="0.3">
      <c r="A33">
        <v>32</v>
      </c>
      <c r="B33" t="s">
        <v>45</v>
      </c>
      <c r="C33" t="s">
        <v>7</v>
      </c>
      <c r="D33" s="1">
        <v>3000000</v>
      </c>
      <c r="E33" s="1">
        <v>3000000</v>
      </c>
      <c r="F33" t="s">
        <v>36</v>
      </c>
      <c r="G33" t="s">
        <v>9</v>
      </c>
    </row>
    <row r="34" spans="1:7" x14ac:dyDescent="0.3">
      <c r="A34">
        <v>33</v>
      </c>
      <c r="B34" t="s">
        <v>46</v>
      </c>
      <c r="C34" t="s">
        <v>7</v>
      </c>
      <c r="D34" s="1">
        <v>3000000</v>
      </c>
      <c r="E34" s="1">
        <v>3000000</v>
      </c>
      <c r="F34" t="s">
        <v>36</v>
      </c>
      <c r="G34" t="s">
        <v>9</v>
      </c>
    </row>
    <row r="35" spans="1:7" x14ac:dyDescent="0.3">
      <c r="A35">
        <v>34</v>
      </c>
      <c r="B35" t="s">
        <v>47</v>
      </c>
      <c r="C35" t="s">
        <v>7</v>
      </c>
      <c r="D35" s="1">
        <v>3000000</v>
      </c>
      <c r="E35" s="1">
        <v>3000000</v>
      </c>
      <c r="F35" t="s">
        <v>36</v>
      </c>
      <c r="G35" t="s">
        <v>9</v>
      </c>
    </row>
    <row r="36" spans="1:7" x14ac:dyDescent="0.3">
      <c r="A36">
        <v>35</v>
      </c>
      <c r="B36" t="s">
        <v>48</v>
      </c>
      <c r="C36" t="s">
        <v>7</v>
      </c>
      <c r="D36" s="1">
        <v>3000000</v>
      </c>
      <c r="E36" s="1">
        <v>3000000</v>
      </c>
      <c r="F36" t="s">
        <v>36</v>
      </c>
      <c r="G36" t="s">
        <v>9</v>
      </c>
    </row>
    <row r="37" spans="1:7" x14ac:dyDescent="0.3">
      <c r="A37">
        <v>36</v>
      </c>
      <c r="B37" t="s">
        <v>49</v>
      </c>
      <c r="C37" t="s">
        <v>14</v>
      </c>
      <c r="D37" s="1">
        <v>20000000</v>
      </c>
      <c r="E37" s="1">
        <v>86000000</v>
      </c>
      <c r="F37" t="s">
        <v>50</v>
      </c>
      <c r="G37" t="s">
        <v>12</v>
      </c>
    </row>
    <row r="38" spans="1:7" x14ac:dyDescent="0.3">
      <c r="A38">
        <v>37</v>
      </c>
      <c r="B38" t="s">
        <v>51</v>
      </c>
      <c r="C38" t="s">
        <v>7</v>
      </c>
      <c r="D38" s="1">
        <v>3000000</v>
      </c>
      <c r="E38" s="1">
        <v>26000000</v>
      </c>
      <c r="F38" t="s">
        <v>50</v>
      </c>
      <c r="G38" t="s">
        <v>9</v>
      </c>
    </row>
    <row r="39" spans="1:7" x14ac:dyDescent="0.3">
      <c r="A39">
        <v>38</v>
      </c>
      <c r="B39" t="s">
        <v>52</v>
      </c>
      <c r="C39" t="s">
        <v>7</v>
      </c>
      <c r="D39" s="1">
        <v>3000000</v>
      </c>
      <c r="E39" s="1">
        <v>22000000</v>
      </c>
      <c r="F39" t="s">
        <v>50</v>
      </c>
      <c r="G39" t="s">
        <v>9</v>
      </c>
    </row>
    <row r="40" spans="1:7" x14ac:dyDescent="0.3">
      <c r="A40">
        <v>39</v>
      </c>
      <c r="B40" t="s">
        <v>53</v>
      </c>
      <c r="C40" t="s">
        <v>14</v>
      </c>
      <c r="D40" s="1">
        <v>20000000</v>
      </c>
      <c r="E40" s="1">
        <v>20000000</v>
      </c>
      <c r="F40" t="s">
        <v>50</v>
      </c>
      <c r="G40" t="s">
        <v>12</v>
      </c>
    </row>
    <row r="41" spans="1:7" x14ac:dyDescent="0.3">
      <c r="A41">
        <v>40</v>
      </c>
      <c r="B41" t="s">
        <v>54</v>
      </c>
      <c r="C41" t="s">
        <v>14</v>
      </c>
      <c r="D41" s="1">
        <v>20000000</v>
      </c>
      <c r="E41" s="1">
        <v>20000000</v>
      </c>
      <c r="F41" t="s">
        <v>50</v>
      </c>
      <c r="G41" t="s">
        <v>12</v>
      </c>
    </row>
    <row r="42" spans="1:7" x14ac:dyDescent="0.3">
      <c r="A42">
        <v>41</v>
      </c>
      <c r="B42" t="s">
        <v>55</v>
      </c>
      <c r="C42" t="s">
        <v>7</v>
      </c>
      <c r="D42" s="1">
        <v>3000000</v>
      </c>
      <c r="E42" s="1">
        <v>10000000</v>
      </c>
      <c r="F42" t="s">
        <v>50</v>
      </c>
      <c r="G42" t="s">
        <v>9</v>
      </c>
    </row>
    <row r="43" spans="1:7" x14ac:dyDescent="0.3">
      <c r="A43">
        <v>42</v>
      </c>
      <c r="B43" t="s">
        <v>56</v>
      </c>
      <c r="C43" t="s">
        <v>14</v>
      </c>
      <c r="D43" s="1">
        <v>10000000</v>
      </c>
      <c r="E43" s="1">
        <v>10000000</v>
      </c>
      <c r="F43" t="s">
        <v>57</v>
      </c>
      <c r="G43" t="s">
        <v>12</v>
      </c>
    </row>
    <row r="44" spans="1:7" x14ac:dyDescent="0.3">
      <c r="A44">
        <v>43</v>
      </c>
      <c r="B44" t="s">
        <v>58</v>
      </c>
      <c r="C44" t="s">
        <v>7</v>
      </c>
      <c r="D44" s="1">
        <v>3000000</v>
      </c>
      <c r="E44" s="1">
        <v>3000000</v>
      </c>
      <c r="F44" t="s">
        <v>57</v>
      </c>
      <c r="G44" t="s">
        <v>9</v>
      </c>
    </row>
    <row r="45" spans="1:7" x14ac:dyDescent="0.3">
      <c r="A45">
        <v>44</v>
      </c>
      <c r="B45" t="s">
        <v>59</v>
      </c>
      <c r="C45" t="s">
        <v>7</v>
      </c>
      <c r="D45" s="1">
        <v>3000000</v>
      </c>
      <c r="E45" s="1">
        <v>3000000</v>
      </c>
      <c r="F45" t="s">
        <v>57</v>
      </c>
      <c r="G45" t="s">
        <v>9</v>
      </c>
    </row>
    <row r="46" spans="1:7" x14ac:dyDescent="0.3">
      <c r="A46">
        <v>45</v>
      </c>
      <c r="B46" t="s">
        <v>60</v>
      </c>
      <c r="C46" t="s">
        <v>7</v>
      </c>
      <c r="D46" s="1">
        <v>3000000</v>
      </c>
      <c r="E46" s="1">
        <v>3000000</v>
      </c>
      <c r="F46" t="s">
        <v>57</v>
      </c>
      <c r="G46" t="s">
        <v>9</v>
      </c>
    </row>
    <row r="47" spans="1:7" x14ac:dyDescent="0.3">
      <c r="A47">
        <v>46</v>
      </c>
      <c r="B47" t="s">
        <v>61</v>
      </c>
      <c r="C47" t="s">
        <v>7</v>
      </c>
      <c r="D47" s="1">
        <v>3000000</v>
      </c>
      <c r="E47" s="1">
        <v>3000000</v>
      </c>
      <c r="F47" t="s">
        <v>57</v>
      </c>
      <c r="G47" t="s">
        <v>9</v>
      </c>
    </row>
    <row r="48" spans="1:7" x14ac:dyDescent="0.3">
      <c r="A48">
        <v>47</v>
      </c>
      <c r="B48" t="s">
        <v>62</v>
      </c>
      <c r="C48" t="s">
        <v>14</v>
      </c>
      <c r="D48" s="1">
        <v>10000000</v>
      </c>
      <c r="E48" s="1">
        <v>44000000</v>
      </c>
      <c r="F48" t="s">
        <v>63</v>
      </c>
      <c r="G48" t="s">
        <v>12</v>
      </c>
    </row>
    <row r="49" spans="1:7" x14ac:dyDescent="0.3">
      <c r="A49">
        <v>48</v>
      </c>
      <c r="B49" t="s">
        <v>64</v>
      </c>
      <c r="C49" t="s">
        <v>14</v>
      </c>
      <c r="D49" s="1">
        <v>20000000</v>
      </c>
      <c r="E49" s="1">
        <v>30000000</v>
      </c>
      <c r="F49" t="s">
        <v>63</v>
      </c>
      <c r="G49" t="s">
        <v>12</v>
      </c>
    </row>
    <row r="50" spans="1:7" x14ac:dyDescent="0.3">
      <c r="A50">
        <v>49</v>
      </c>
      <c r="B50" t="s">
        <v>65</v>
      </c>
      <c r="C50" t="s">
        <v>7</v>
      </c>
      <c r="D50" s="1">
        <v>3000000</v>
      </c>
      <c r="E50" s="1">
        <v>3000000</v>
      </c>
      <c r="F50" t="s">
        <v>63</v>
      </c>
      <c r="G50" t="s">
        <v>9</v>
      </c>
    </row>
    <row r="51" spans="1:7" x14ac:dyDescent="0.3">
      <c r="A51">
        <v>50</v>
      </c>
      <c r="B51" t="s">
        <v>66</v>
      </c>
      <c r="C51" t="s">
        <v>7</v>
      </c>
      <c r="D51" s="1">
        <v>3000000</v>
      </c>
      <c r="E51" s="1">
        <v>3000000</v>
      </c>
      <c r="F51" t="s">
        <v>63</v>
      </c>
      <c r="G51" t="s">
        <v>9</v>
      </c>
    </row>
    <row r="52" spans="1:7" x14ac:dyDescent="0.3">
      <c r="A52">
        <v>51</v>
      </c>
      <c r="B52" t="s">
        <v>67</v>
      </c>
      <c r="C52" t="s">
        <v>7</v>
      </c>
      <c r="D52" s="1">
        <v>20000000</v>
      </c>
      <c r="E52" s="1">
        <v>72000000</v>
      </c>
      <c r="F52" t="s">
        <v>68</v>
      </c>
      <c r="G52" t="s">
        <v>12</v>
      </c>
    </row>
    <row r="53" spans="1:7" x14ac:dyDescent="0.3">
      <c r="A53">
        <v>52</v>
      </c>
      <c r="B53" t="s">
        <v>69</v>
      </c>
      <c r="C53" t="s">
        <v>14</v>
      </c>
      <c r="D53" s="1">
        <v>20000000</v>
      </c>
      <c r="E53" s="1">
        <v>24000000</v>
      </c>
      <c r="F53" t="s">
        <v>68</v>
      </c>
      <c r="G53" t="s">
        <v>12</v>
      </c>
    </row>
    <row r="54" spans="1:7" x14ac:dyDescent="0.3">
      <c r="A54">
        <v>53</v>
      </c>
      <c r="B54" t="s">
        <v>70</v>
      </c>
      <c r="C54" t="s">
        <v>7</v>
      </c>
      <c r="D54" s="1">
        <v>3000000</v>
      </c>
      <c r="E54" s="1">
        <v>9500000</v>
      </c>
      <c r="F54" t="s">
        <v>68</v>
      </c>
      <c r="G54" t="s">
        <v>9</v>
      </c>
    </row>
    <row r="55" spans="1:7" x14ac:dyDescent="0.3">
      <c r="A55">
        <v>54</v>
      </c>
      <c r="B55" t="s">
        <v>71</v>
      </c>
      <c r="C55" t="s">
        <v>7</v>
      </c>
      <c r="D55" s="1">
        <v>3000000</v>
      </c>
      <c r="E55" s="1">
        <v>9000000</v>
      </c>
      <c r="F55" t="s">
        <v>68</v>
      </c>
      <c r="G55" t="s">
        <v>9</v>
      </c>
    </row>
    <row r="56" spans="1:7" x14ac:dyDescent="0.3">
      <c r="A56">
        <v>55</v>
      </c>
      <c r="B56" t="s">
        <v>72</v>
      </c>
      <c r="C56" t="s">
        <v>7</v>
      </c>
      <c r="D56" s="1">
        <v>7500000</v>
      </c>
      <c r="E56" s="1">
        <v>7500000</v>
      </c>
      <c r="F56" t="s">
        <v>68</v>
      </c>
      <c r="G56" t="s">
        <v>12</v>
      </c>
    </row>
    <row r="57" spans="1:7" x14ac:dyDescent="0.3">
      <c r="A57">
        <v>56</v>
      </c>
      <c r="B57" t="s">
        <v>73</v>
      </c>
      <c r="C57" t="s">
        <v>7</v>
      </c>
      <c r="D57" s="1">
        <v>3000000</v>
      </c>
      <c r="E57" s="1">
        <v>3000000</v>
      </c>
      <c r="F57" t="s">
        <v>68</v>
      </c>
      <c r="G57" t="s">
        <v>9</v>
      </c>
    </row>
    <row r="58" spans="1:7" x14ac:dyDescent="0.3">
      <c r="A58">
        <v>57</v>
      </c>
      <c r="B58" t="s">
        <v>74</v>
      </c>
      <c r="C58" t="s">
        <v>7</v>
      </c>
      <c r="D58" s="1">
        <v>3000000</v>
      </c>
      <c r="E58" s="1">
        <v>3000000</v>
      </c>
      <c r="F58" t="s">
        <v>68</v>
      </c>
      <c r="G58" t="s">
        <v>9</v>
      </c>
    </row>
    <row r="59" spans="1:7" x14ac:dyDescent="0.3">
      <c r="A59">
        <v>58</v>
      </c>
      <c r="B59" t="s">
        <v>75</v>
      </c>
      <c r="C59" t="s">
        <v>7</v>
      </c>
      <c r="D59" s="1">
        <v>3000000</v>
      </c>
      <c r="E59" s="1">
        <v>3000000</v>
      </c>
      <c r="F59" t="s">
        <v>68</v>
      </c>
      <c r="G59" t="s">
        <v>9</v>
      </c>
    </row>
    <row r="60" spans="1:7" x14ac:dyDescent="0.3">
      <c r="A60">
        <v>59</v>
      </c>
      <c r="B60" t="s">
        <v>76</v>
      </c>
      <c r="C60" t="s">
        <v>7</v>
      </c>
      <c r="D60" s="1">
        <v>3000000</v>
      </c>
      <c r="E60" s="1">
        <v>3000000</v>
      </c>
      <c r="F60" t="s">
        <v>68</v>
      </c>
      <c r="G60" t="s">
        <v>9</v>
      </c>
    </row>
    <row r="61" spans="1:7" x14ac:dyDescent="0.3">
      <c r="A61">
        <v>60</v>
      </c>
      <c r="B61" t="s">
        <v>77</v>
      </c>
      <c r="C61" t="s">
        <v>7</v>
      </c>
      <c r="D61" s="1">
        <v>20000000</v>
      </c>
      <c r="E61" s="1">
        <v>70000000</v>
      </c>
      <c r="F61" t="s">
        <v>78</v>
      </c>
      <c r="G61" t="s">
        <v>12</v>
      </c>
    </row>
    <row r="62" spans="1:7" x14ac:dyDescent="0.3">
      <c r="A62">
        <v>61</v>
      </c>
      <c r="B62" t="s">
        <v>79</v>
      </c>
      <c r="C62" t="s">
        <v>7</v>
      </c>
      <c r="D62" s="1">
        <v>3000000</v>
      </c>
      <c r="E62" s="1">
        <v>52000000</v>
      </c>
      <c r="F62" t="s">
        <v>78</v>
      </c>
      <c r="G62" t="s">
        <v>9</v>
      </c>
    </row>
    <row r="63" spans="1:7" x14ac:dyDescent="0.3">
      <c r="A63">
        <v>62</v>
      </c>
      <c r="B63" t="s">
        <v>80</v>
      </c>
      <c r="C63" t="s">
        <v>14</v>
      </c>
      <c r="D63" s="1">
        <v>20000000</v>
      </c>
      <c r="E63" s="1">
        <v>20000000</v>
      </c>
      <c r="F63" t="s">
        <v>78</v>
      </c>
      <c r="G63" t="s">
        <v>12</v>
      </c>
    </row>
    <row r="64" spans="1:7" x14ac:dyDescent="0.3">
      <c r="A64">
        <v>63</v>
      </c>
      <c r="B64" t="s">
        <v>81</v>
      </c>
      <c r="C64" t="s">
        <v>14</v>
      </c>
      <c r="D64" s="1">
        <v>7500000</v>
      </c>
      <c r="E64" s="1">
        <v>7500000</v>
      </c>
      <c r="F64" t="s">
        <v>78</v>
      </c>
      <c r="G64" t="s">
        <v>12</v>
      </c>
    </row>
    <row r="65" spans="1:7" x14ac:dyDescent="0.3">
      <c r="A65">
        <v>64</v>
      </c>
      <c r="B65" t="s">
        <v>82</v>
      </c>
      <c r="C65" t="s">
        <v>7</v>
      </c>
      <c r="D65" s="1">
        <v>3000000</v>
      </c>
      <c r="E65" s="1">
        <v>3000000</v>
      </c>
      <c r="F65" t="s">
        <v>78</v>
      </c>
      <c r="G65" t="s">
        <v>9</v>
      </c>
    </row>
    <row r="66" spans="1:7" x14ac:dyDescent="0.3">
      <c r="A66">
        <v>65</v>
      </c>
      <c r="B66" t="s">
        <v>83</v>
      </c>
      <c r="C66" t="s">
        <v>7</v>
      </c>
      <c r="D66" s="1">
        <v>3000000</v>
      </c>
      <c r="E66" s="1">
        <v>3000000</v>
      </c>
      <c r="F66" t="s">
        <v>78</v>
      </c>
      <c r="G66" t="s">
        <v>9</v>
      </c>
    </row>
    <row r="67" spans="1:7" x14ac:dyDescent="0.3">
      <c r="A67">
        <v>66</v>
      </c>
      <c r="B67" t="s">
        <v>84</v>
      </c>
      <c r="C67" t="s">
        <v>7</v>
      </c>
      <c r="D67" s="1">
        <v>3000000</v>
      </c>
      <c r="E67" s="1">
        <v>3000000</v>
      </c>
      <c r="F67" t="s">
        <v>78</v>
      </c>
      <c r="G67" t="s">
        <v>9</v>
      </c>
    </row>
    <row r="68" spans="1:7" x14ac:dyDescent="0.3">
      <c r="A68">
        <v>67</v>
      </c>
      <c r="B68" t="s">
        <v>85</v>
      </c>
      <c r="C68" t="s">
        <v>7</v>
      </c>
      <c r="D68" s="1">
        <v>3000000</v>
      </c>
      <c r="E68" s="1">
        <v>3000000</v>
      </c>
      <c r="F68" t="s">
        <v>78</v>
      </c>
      <c r="G68" t="s">
        <v>9</v>
      </c>
    </row>
    <row r="69" spans="1:7" x14ac:dyDescent="0.3">
      <c r="A69">
        <v>68</v>
      </c>
      <c r="B69" t="s">
        <v>86</v>
      </c>
      <c r="C69" t="s">
        <v>14</v>
      </c>
      <c r="D69" s="1">
        <v>20000000</v>
      </c>
      <c r="E69" s="1">
        <v>130000000</v>
      </c>
      <c r="F69" t="s">
        <v>87</v>
      </c>
      <c r="G69" t="s">
        <v>12</v>
      </c>
    </row>
    <row r="70" spans="1:7" x14ac:dyDescent="0.3">
      <c r="A70">
        <v>69</v>
      </c>
      <c r="B70" t="s">
        <v>88</v>
      </c>
      <c r="C70" t="s">
        <v>14</v>
      </c>
      <c r="D70" s="1">
        <v>5000000</v>
      </c>
      <c r="E70" s="1">
        <v>30000000</v>
      </c>
      <c r="F70" t="s">
        <v>87</v>
      </c>
      <c r="G70" t="s">
        <v>9</v>
      </c>
    </row>
    <row r="71" spans="1:7" x14ac:dyDescent="0.3">
      <c r="A71">
        <v>70</v>
      </c>
      <c r="B71" t="s">
        <v>89</v>
      </c>
      <c r="C71" t="s">
        <v>7</v>
      </c>
      <c r="D71" s="1">
        <v>3000000</v>
      </c>
      <c r="E71" s="1">
        <v>15000000</v>
      </c>
      <c r="F71" t="s">
        <v>87</v>
      </c>
      <c r="G71" t="s">
        <v>9</v>
      </c>
    </row>
    <row r="72" spans="1:7" x14ac:dyDescent="0.3">
      <c r="A72">
        <v>71</v>
      </c>
      <c r="B72" t="s">
        <v>90</v>
      </c>
      <c r="C72" t="s">
        <v>7</v>
      </c>
      <c r="D72" s="1">
        <v>7500000</v>
      </c>
      <c r="E72" s="1">
        <v>7500000</v>
      </c>
      <c r="F72" t="s">
        <v>87</v>
      </c>
      <c r="G72" t="s">
        <v>12</v>
      </c>
    </row>
    <row r="73" spans="1:7" x14ac:dyDescent="0.3">
      <c r="A73">
        <v>72</v>
      </c>
      <c r="B73" t="s">
        <v>91</v>
      </c>
      <c r="C73" t="s">
        <v>7</v>
      </c>
      <c r="D73" s="1">
        <v>3000000</v>
      </c>
      <c r="E73" s="1">
        <v>3000000</v>
      </c>
      <c r="F73" t="s">
        <v>87</v>
      </c>
      <c r="G73" t="s">
        <v>9</v>
      </c>
    </row>
    <row r="74" spans="1:7" x14ac:dyDescent="0.3">
      <c r="A74">
        <v>73</v>
      </c>
      <c r="B74" t="s">
        <v>92</v>
      </c>
      <c r="C74" t="s">
        <v>7</v>
      </c>
      <c r="D74" s="1">
        <v>3000000</v>
      </c>
      <c r="E74" s="1">
        <v>3000000</v>
      </c>
      <c r="F74" t="s">
        <v>87</v>
      </c>
      <c r="G74" t="s">
        <v>9</v>
      </c>
    </row>
    <row r="75" spans="1:7" x14ac:dyDescent="0.3">
      <c r="A75">
        <v>74</v>
      </c>
      <c r="B75" t="s">
        <v>93</v>
      </c>
      <c r="C75" t="s">
        <v>7</v>
      </c>
      <c r="D75" s="1">
        <v>3000000</v>
      </c>
      <c r="E75" s="1">
        <v>3000000</v>
      </c>
      <c r="F75" t="s">
        <v>87</v>
      </c>
      <c r="G75" t="s">
        <v>9</v>
      </c>
    </row>
    <row r="76" spans="1:7" x14ac:dyDescent="0.3">
      <c r="A76">
        <v>75</v>
      </c>
      <c r="B76" t="s">
        <v>94</v>
      </c>
      <c r="C76" t="s">
        <v>7</v>
      </c>
      <c r="D76" s="1">
        <v>3000000</v>
      </c>
      <c r="E76" s="1">
        <v>3000000</v>
      </c>
      <c r="F76" t="s">
        <v>87</v>
      </c>
      <c r="G76" t="s">
        <v>9</v>
      </c>
    </row>
    <row r="77" spans="1:7" x14ac:dyDescent="0.3">
      <c r="A77">
        <v>76</v>
      </c>
      <c r="B77" t="s">
        <v>95</v>
      </c>
      <c r="C77" t="s">
        <v>7</v>
      </c>
      <c r="D77" s="1">
        <v>3000000</v>
      </c>
      <c r="E77" s="1">
        <v>3000000</v>
      </c>
      <c r="F77" t="s">
        <v>87</v>
      </c>
      <c r="G77" t="s">
        <v>9</v>
      </c>
    </row>
    <row r="78" spans="1:7" x14ac:dyDescent="0.3">
      <c r="A78">
        <v>77</v>
      </c>
      <c r="B78" t="s">
        <v>96</v>
      </c>
      <c r="C78" t="s">
        <v>7</v>
      </c>
      <c r="D78" s="1">
        <v>3000000</v>
      </c>
      <c r="E78" s="1">
        <v>3000000</v>
      </c>
      <c r="F78" t="s">
        <v>87</v>
      </c>
      <c r="G78"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98308-8415-4BF3-A2B9-5C8E72FFBCF9}">
  <dimension ref="A1:I73"/>
  <sheetViews>
    <sheetView topLeftCell="A9" zoomScale="71" zoomScaleNormal="70" workbookViewId="0">
      <selection activeCell="C27" sqref="C27"/>
    </sheetView>
  </sheetViews>
  <sheetFormatPr defaultRowHeight="14.4" x14ac:dyDescent="0.3"/>
  <cols>
    <col min="1" max="1" width="26.6640625" bestFit="1" customWidth="1"/>
    <col min="2" max="2" width="21.109375" bestFit="1" customWidth="1"/>
    <col min="3" max="3" width="22.33203125" bestFit="1" customWidth="1"/>
    <col min="4" max="4" width="21.109375" bestFit="1" customWidth="1"/>
    <col min="5" max="5" width="22.33203125" bestFit="1" customWidth="1"/>
    <col min="6" max="6" width="25.88671875" bestFit="1" customWidth="1"/>
    <col min="7" max="7" width="27.21875" bestFit="1" customWidth="1"/>
    <col min="8" max="9" width="15.5546875" bestFit="1" customWidth="1"/>
    <col min="10" max="10" width="10.5546875" bestFit="1" customWidth="1"/>
    <col min="11" max="11" width="9.6640625" bestFit="1" customWidth="1"/>
    <col min="12" max="12" width="13.5546875" bestFit="1" customWidth="1"/>
    <col min="13" max="13" width="10.88671875" bestFit="1" customWidth="1"/>
    <col min="14" max="14" width="15.44140625" bestFit="1" customWidth="1"/>
    <col min="15" max="16" width="10.6640625" bestFit="1" customWidth="1"/>
    <col min="17" max="17" width="15.44140625" bestFit="1" customWidth="1"/>
    <col min="18" max="18" width="10.6640625" bestFit="1" customWidth="1"/>
    <col min="19" max="19" width="15.44140625" bestFit="1" customWidth="1"/>
    <col min="20" max="20" width="10.6640625" bestFit="1" customWidth="1"/>
    <col min="21" max="21" width="15.44140625" bestFit="1" customWidth="1"/>
    <col min="22" max="22" width="10.6640625" bestFit="1" customWidth="1"/>
    <col min="23" max="23" width="15.44140625" bestFit="1" customWidth="1"/>
    <col min="24" max="24" width="10.6640625" bestFit="1" customWidth="1"/>
    <col min="25" max="25" width="15.44140625" bestFit="1" customWidth="1"/>
    <col min="26" max="26" width="10.6640625" bestFit="1" customWidth="1"/>
    <col min="27" max="27" width="9.109375" bestFit="1" customWidth="1"/>
    <col min="28" max="28" width="10.6640625" bestFit="1" customWidth="1"/>
    <col min="29" max="29" width="15.44140625" bestFit="1" customWidth="1"/>
    <col min="30" max="30" width="10.6640625" bestFit="1" customWidth="1"/>
    <col min="31" max="31" width="15.44140625" bestFit="1" customWidth="1"/>
    <col min="32" max="32" width="10.6640625" bestFit="1" customWidth="1"/>
    <col min="33" max="33" width="15.44140625" bestFit="1" customWidth="1"/>
    <col min="34" max="35" width="10.6640625" bestFit="1" customWidth="1"/>
    <col min="36" max="36" width="15.44140625" bestFit="1" customWidth="1"/>
    <col min="37" max="37" width="10.6640625" bestFit="1" customWidth="1"/>
    <col min="38" max="38" width="15.44140625" bestFit="1" customWidth="1"/>
    <col min="39" max="39" width="10.6640625" bestFit="1" customWidth="1"/>
    <col min="40" max="40" width="15.44140625" bestFit="1" customWidth="1"/>
    <col min="41" max="41" width="10.6640625" bestFit="1" customWidth="1"/>
    <col min="42" max="42" width="15.44140625" bestFit="1" customWidth="1"/>
    <col min="43" max="43" width="10.6640625" bestFit="1" customWidth="1"/>
    <col min="44" max="44" width="15.44140625" bestFit="1" customWidth="1"/>
    <col min="45" max="45" width="10.6640625" bestFit="1" customWidth="1"/>
    <col min="46" max="46" width="15.44140625" bestFit="1" customWidth="1"/>
    <col min="47" max="47" width="11.6640625" bestFit="1" customWidth="1"/>
    <col min="48" max="48" width="16.44140625" bestFit="1" customWidth="1"/>
    <col min="49" max="49" width="11.6640625" bestFit="1" customWidth="1"/>
    <col min="50" max="50" width="16.44140625" bestFit="1" customWidth="1"/>
    <col min="51" max="51" width="11.6640625" bestFit="1" customWidth="1"/>
    <col min="52" max="52" width="16.44140625" bestFit="1" customWidth="1"/>
    <col min="53" max="53" width="11.6640625" bestFit="1" customWidth="1"/>
    <col min="54" max="54" width="16.44140625" bestFit="1" customWidth="1"/>
    <col min="55" max="55" width="10.77734375" bestFit="1" customWidth="1"/>
  </cols>
  <sheetData>
    <row r="1" spans="1:9" x14ac:dyDescent="0.3">
      <c r="A1" s="3" t="s">
        <v>102</v>
      </c>
      <c r="B1" s="3" t="s">
        <v>101</v>
      </c>
      <c r="F1" s="3" t="s">
        <v>104</v>
      </c>
      <c r="G1" s="3" t="s">
        <v>101</v>
      </c>
    </row>
    <row r="2" spans="1:9" x14ac:dyDescent="0.3">
      <c r="A2" s="3" t="s">
        <v>99</v>
      </c>
      <c r="B2" t="s">
        <v>7</v>
      </c>
      <c r="C2" t="s">
        <v>14</v>
      </c>
      <c r="D2" t="s">
        <v>100</v>
      </c>
      <c r="F2" s="3" t="s">
        <v>99</v>
      </c>
      <c r="G2" t="s">
        <v>7</v>
      </c>
      <c r="H2" t="s">
        <v>14</v>
      </c>
      <c r="I2" t="s">
        <v>100</v>
      </c>
    </row>
    <row r="3" spans="1:9" x14ac:dyDescent="0.3">
      <c r="A3" s="4" t="s">
        <v>35</v>
      </c>
      <c r="B3" s="5"/>
      <c r="C3" s="5">
        <v>252000000</v>
      </c>
      <c r="D3" s="5">
        <v>252000000</v>
      </c>
      <c r="F3" s="4" t="s">
        <v>8</v>
      </c>
      <c r="G3" s="5">
        <v>347500000</v>
      </c>
      <c r="H3" s="5">
        <v>62500000</v>
      </c>
      <c r="I3" s="5">
        <v>410000000</v>
      </c>
    </row>
    <row r="4" spans="1:9" x14ac:dyDescent="0.3">
      <c r="A4" s="4" t="s">
        <v>37</v>
      </c>
      <c r="B4" s="5"/>
      <c r="C4" s="5">
        <v>180000000</v>
      </c>
      <c r="D4" s="5">
        <v>180000000</v>
      </c>
      <c r="F4" s="4" t="s">
        <v>21</v>
      </c>
      <c r="G4" s="5">
        <v>94500000</v>
      </c>
      <c r="H4" s="5">
        <v>120000000</v>
      </c>
      <c r="I4" s="5">
        <v>214500000</v>
      </c>
    </row>
    <row r="5" spans="1:9" x14ac:dyDescent="0.3">
      <c r="A5" s="4" t="s">
        <v>10</v>
      </c>
      <c r="B5" s="5">
        <v>142000000</v>
      </c>
      <c r="C5" s="5"/>
      <c r="D5" s="5">
        <v>142000000</v>
      </c>
      <c r="F5" s="4" t="s">
        <v>30</v>
      </c>
      <c r="G5" s="5">
        <v>12000000</v>
      </c>
      <c r="H5" s="5">
        <v>97500000</v>
      </c>
      <c r="I5" s="5">
        <v>109500000</v>
      </c>
    </row>
    <row r="6" spans="1:9" x14ac:dyDescent="0.3">
      <c r="A6" s="4" t="s">
        <v>6</v>
      </c>
      <c r="B6" s="5">
        <v>142000000</v>
      </c>
      <c r="C6" s="5"/>
      <c r="D6" s="5">
        <v>142000000</v>
      </c>
      <c r="F6" s="4" t="s">
        <v>36</v>
      </c>
      <c r="G6" s="5">
        <v>59500000</v>
      </c>
      <c r="H6" s="5">
        <v>579000000</v>
      </c>
      <c r="I6" s="5">
        <v>638500000</v>
      </c>
    </row>
    <row r="7" spans="1:9" x14ac:dyDescent="0.3">
      <c r="A7" s="4" t="s">
        <v>86</v>
      </c>
      <c r="B7" s="5"/>
      <c r="C7" s="5">
        <v>130000000</v>
      </c>
      <c r="D7" s="5">
        <v>130000000</v>
      </c>
      <c r="F7" s="4" t="s">
        <v>50</v>
      </c>
      <c r="G7" s="5">
        <v>58000000</v>
      </c>
      <c r="H7" s="5">
        <v>126000000</v>
      </c>
      <c r="I7" s="5">
        <v>184000000</v>
      </c>
    </row>
    <row r="8" spans="1:9" x14ac:dyDescent="0.3">
      <c r="A8" s="4" t="s">
        <v>38</v>
      </c>
      <c r="B8" s="5"/>
      <c r="C8" s="5">
        <v>92000000</v>
      </c>
      <c r="D8" s="5">
        <v>92000000</v>
      </c>
      <c r="F8" s="4" t="s">
        <v>57</v>
      </c>
      <c r="G8" s="5">
        <v>12000000</v>
      </c>
      <c r="H8" s="5">
        <v>10000000</v>
      </c>
      <c r="I8" s="5">
        <v>22000000</v>
      </c>
    </row>
    <row r="9" spans="1:9" x14ac:dyDescent="0.3">
      <c r="A9" s="4" t="s">
        <v>49</v>
      </c>
      <c r="B9" s="5"/>
      <c r="C9" s="5">
        <v>86000000</v>
      </c>
      <c r="D9" s="5">
        <v>86000000</v>
      </c>
      <c r="F9" s="4" t="s">
        <v>63</v>
      </c>
      <c r="G9" s="5">
        <v>6000000</v>
      </c>
      <c r="H9" s="5">
        <v>74000000</v>
      </c>
      <c r="I9" s="5">
        <v>80000000</v>
      </c>
    </row>
    <row r="10" spans="1:9" x14ac:dyDescent="0.3">
      <c r="A10" s="4" t="s">
        <v>20</v>
      </c>
      <c r="B10" s="5">
        <v>84000000</v>
      </c>
      <c r="C10" s="5"/>
      <c r="D10" s="5">
        <v>84000000</v>
      </c>
      <c r="F10" s="4" t="s">
        <v>68</v>
      </c>
      <c r="G10" s="5">
        <v>110000000</v>
      </c>
      <c r="H10" s="5">
        <v>24000000</v>
      </c>
      <c r="I10" s="5">
        <v>134000000</v>
      </c>
    </row>
    <row r="11" spans="1:9" x14ac:dyDescent="0.3">
      <c r="A11" s="4" t="s">
        <v>67</v>
      </c>
      <c r="B11" s="5">
        <v>72000000</v>
      </c>
      <c r="C11" s="5"/>
      <c r="D11" s="5">
        <v>72000000</v>
      </c>
      <c r="F11" s="4" t="s">
        <v>78</v>
      </c>
      <c r="G11" s="5">
        <v>134000000</v>
      </c>
      <c r="H11" s="5">
        <v>27500000</v>
      </c>
      <c r="I11" s="5">
        <v>161500000</v>
      </c>
    </row>
    <row r="12" spans="1:9" x14ac:dyDescent="0.3">
      <c r="A12" s="4" t="s">
        <v>77</v>
      </c>
      <c r="B12" s="5">
        <v>70000000</v>
      </c>
      <c r="C12" s="5"/>
      <c r="D12" s="5">
        <v>70000000</v>
      </c>
      <c r="F12" s="4" t="s">
        <v>87</v>
      </c>
      <c r="G12" s="5">
        <v>40500000</v>
      </c>
      <c r="H12" s="5">
        <v>160000000</v>
      </c>
      <c r="I12" s="5">
        <v>200500000</v>
      </c>
    </row>
    <row r="13" spans="1:9" x14ac:dyDescent="0.3">
      <c r="A13" s="4" t="s">
        <v>29</v>
      </c>
      <c r="B13" s="5"/>
      <c r="C13" s="5">
        <v>70000000</v>
      </c>
      <c r="D13" s="5">
        <v>70000000</v>
      </c>
      <c r="F13" s="4" t="s">
        <v>100</v>
      </c>
      <c r="G13" s="5">
        <v>874000000</v>
      </c>
      <c r="H13" s="5">
        <v>1280500000</v>
      </c>
      <c r="I13" s="5">
        <v>2154500000</v>
      </c>
    </row>
    <row r="14" spans="1:9" x14ac:dyDescent="0.3">
      <c r="A14" s="4" t="s">
        <v>100</v>
      </c>
      <c r="B14" s="5">
        <v>510000000</v>
      </c>
      <c r="C14" s="5">
        <v>810000000</v>
      </c>
      <c r="D14" s="5">
        <v>1320000000</v>
      </c>
    </row>
    <row r="16" spans="1:9" x14ac:dyDescent="0.3">
      <c r="A16" s="3" t="s">
        <v>105</v>
      </c>
      <c r="B16" s="3" t="s">
        <v>101</v>
      </c>
      <c r="F16" s="3" t="s">
        <v>106</v>
      </c>
      <c r="G16" s="3" t="s">
        <v>101</v>
      </c>
    </row>
    <row r="17" spans="1:9" x14ac:dyDescent="0.3">
      <c r="A17" s="3" t="s">
        <v>99</v>
      </c>
      <c r="B17" t="s">
        <v>12</v>
      </c>
      <c r="C17" t="s">
        <v>9</v>
      </c>
      <c r="D17" t="s">
        <v>100</v>
      </c>
      <c r="F17" s="3" t="s">
        <v>99</v>
      </c>
      <c r="G17" t="s">
        <v>7</v>
      </c>
      <c r="H17" t="s">
        <v>14</v>
      </c>
      <c r="I17" t="s">
        <v>100</v>
      </c>
    </row>
    <row r="18" spans="1:9" x14ac:dyDescent="0.3">
      <c r="A18" s="4" t="s">
        <v>8</v>
      </c>
      <c r="B18">
        <v>6</v>
      </c>
      <c r="C18">
        <v>3</v>
      </c>
      <c r="D18">
        <v>9</v>
      </c>
      <c r="F18" s="4" t="s">
        <v>50</v>
      </c>
      <c r="G18">
        <v>3</v>
      </c>
      <c r="H18">
        <v>3</v>
      </c>
      <c r="I18">
        <v>6</v>
      </c>
    </row>
    <row r="19" spans="1:9" x14ac:dyDescent="0.3">
      <c r="A19" s="4" t="s">
        <v>21</v>
      </c>
      <c r="B19">
        <v>6</v>
      </c>
      <c r="C19">
        <v>2</v>
      </c>
      <c r="D19">
        <v>8</v>
      </c>
      <c r="F19" s="4" t="s">
        <v>100</v>
      </c>
      <c r="G19">
        <v>3</v>
      </c>
      <c r="H19">
        <v>3</v>
      </c>
      <c r="I19">
        <v>6</v>
      </c>
    </row>
    <row r="20" spans="1:9" x14ac:dyDescent="0.3">
      <c r="A20" s="4" t="s">
        <v>30</v>
      </c>
      <c r="B20">
        <v>3</v>
      </c>
      <c r="C20">
        <v>2</v>
      </c>
      <c r="D20">
        <v>5</v>
      </c>
    </row>
    <row r="21" spans="1:9" x14ac:dyDescent="0.3">
      <c r="A21" s="4" t="s">
        <v>36</v>
      </c>
      <c r="B21">
        <v>8</v>
      </c>
      <c r="C21">
        <v>5</v>
      </c>
      <c r="D21">
        <v>13</v>
      </c>
    </row>
    <row r="22" spans="1:9" x14ac:dyDescent="0.3">
      <c r="A22" s="4" t="s">
        <v>50</v>
      </c>
      <c r="B22">
        <v>3</v>
      </c>
      <c r="C22">
        <v>3</v>
      </c>
      <c r="D22">
        <v>6</v>
      </c>
    </row>
    <row r="23" spans="1:9" x14ac:dyDescent="0.3">
      <c r="A23" s="4" t="s">
        <v>57</v>
      </c>
      <c r="B23">
        <v>1</v>
      </c>
      <c r="C23">
        <v>4</v>
      </c>
      <c r="D23">
        <v>5</v>
      </c>
    </row>
    <row r="24" spans="1:9" x14ac:dyDescent="0.3">
      <c r="A24" s="4" t="s">
        <v>63</v>
      </c>
      <c r="B24">
        <v>2</v>
      </c>
      <c r="C24">
        <v>2</v>
      </c>
      <c r="D24">
        <v>4</v>
      </c>
    </row>
    <row r="25" spans="1:9" x14ac:dyDescent="0.3">
      <c r="A25" s="4" t="s">
        <v>68</v>
      </c>
      <c r="B25">
        <v>3</v>
      </c>
      <c r="C25">
        <v>6</v>
      </c>
      <c r="D25">
        <v>9</v>
      </c>
    </row>
    <row r="26" spans="1:9" x14ac:dyDescent="0.3">
      <c r="A26" s="4" t="s">
        <v>78</v>
      </c>
      <c r="B26">
        <v>3</v>
      </c>
      <c r="C26">
        <v>5</v>
      </c>
      <c r="D26">
        <v>8</v>
      </c>
    </row>
    <row r="27" spans="1:9" x14ac:dyDescent="0.3">
      <c r="A27" s="4" t="s">
        <v>87</v>
      </c>
      <c r="B27">
        <v>2</v>
      </c>
      <c r="C27">
        <v>8</v>
      </c>
      <c r="D27">
        <v>10</v>
      </c>
    </row>
    <row r="28" spans="1:9" x14ac:dyDescent="0.3">
      <c r="A28" s="4" t="s">
        <v>100</v>
      </c>
      <c r="B28">
        <v>37</v>
      </c>
      <c r="C28">
        <v>40</v>
      </c>
      <c r="D28">
        <v>77</v>
      </c>
    </row>
    <row r="30" spans="1:9" x14ac:dyDescent="0.3">
      <c r="B30" s="3" t="s">
        <v>101</v>
      </c>
    </row>
    <row r="31" spans="1:9" x14ac:dyDescent="0.3">
      <c r="B31" t="s">
        <v>7</v>
      </c>
      <c r="D31" t="s">
        <v>14</v>
      </c>
      <c r="F31" t="s">
        <v>116</v>
      </c>
      <c r="G31" t="s">
        <v>117</v>
      </c>
    </row>
    <row r="32" spans="1:9" x14ac:dyDescent="0.3">
      <c r="A32" s="3" t="s">
        <v>99</v>
      </c>
      <c r="B32" t="s">
        <v>115</v>
      </c>
      <c r="C32" t="s">
        <v>118</v>
      </c>
      <c r="D32" t="s">
        <v>115</v>
      </c>
      <c r="E32" t="s">
        <v>118</v>
      </c>
    </row>
    <row r="33" spans="1:7" x14ac:dyDescent="0.3">
      <c r="A33" s="4" t="s">
        <v>8</v>
      </c>
      <c r="B33" s="1">
        <v>26500000</v>
      </c>
      <c r="C33" s="1">
        <v>347500000</v>
      </c>
      <c r="D33" s="1">
        <v>62500000</v>
      </c>
      <c r="E33" s="1">
        <v>62500000</v>
      </c>
      <c r="F33" s="1">
        <v>89000000</v>
      </c>
      <c r="G33" s="1">
        <v>410000000</v>
      </c>
    </row>
    <row r="34" spans="1:7" x14ac:dyDescent="0.3">
      <c r="A34" s="4" t="s">
        <v>21</v>
      </c>
      <c r="B34" s="1">
        <v>13500000</v>
      </c>
      <c r="C34" s="1">
        <v>94500000</v>
      </c>
      <c r="D34" s="1">
        <v>87500000</v>
      </c>
      <c r="E34" s="1">
        <v>120000000</v>
      </c>
      <c r="F34" s="1">
        <v>101000000</v>
      </c>
      <c r="G34" s="1">
        <v>214500000</v>
      </c>
    </row>
    <row r="35" spans="1:7" x14ac:dyDescent="0.3">
      <c r="A35" s="4" t="s">
        <v>30</v>
      </c>
      <c r="B35" s="1">
        <v>6000000</v>
      </c>
      <c r="C35" s="1">
        <v>12000000</v>
      </c>
      <c r="D35" s="1">
        <v>47500000</v>
      </c>
      <c r="E35" s="1">
        <v>97500000</v>
      </c>
      <c r="F35" s="1">
        <v>53500000</v>
      </c>
      <c r="G35" s="1">
        <v>109500000</v>
      </c>
    </row>
    <row r="36" spans="1:7" x14ac:dyDescent="0.3">
      <c r="A36" s="4" t="s">
        <v>36</v>
      </c>
      <c r="B36" s="1">
        <v>32500000</v>
      </c>
      <c r="C36" s="1">
        <v>59500000</v>
      </c>
      <c r="D36" s="1">
        <v>115000000</v>
      </c>
      <c r="E36" s="1">
        <v>579000000</v>
      </c>
      <c r="F36" s="1">
        <v>147500000</v>
      </c>
      <c r="G36" s="1">
        <v>638500000</v>
      </c>
    </row>
    <row r="37" spans="1:7" x14ac:dyDescent="0.3">
      <c r="A37" s="4" t="s">
        <v>50</v>
      </c>
      <c r="B37" s="1">
        <v>9000000</v>
      </c>
      <c r="C37" s="1">
        <v>58000000</v>
      </c>
      <c r="D37" s="1">
        <v>60000000</v>
      </c>
      <c r="E37" s="1">
        <v>126000000</v>
      </c>
      <c r="F37" s="1">
        <v>69000000</v>
      </c>
      <c r="G37" s="1">
        <v>184000000</v>
      </c>
    </row>
    <row r="38" spans="1:7" x14ac:dyDescent="0.3">
      <c r="A38" s="4" t="s">
        <v>57</v>
      </c>
      <c r="B38" s="1">
        <v>12000000</v>
      </c>
      <c r="C38" s="1">
        <v>12000000</v>
      </c>
      <c r="D38" s="1">
        <v>10000000</v>
      </c>
      <c r="E38" s="1">
        <v>10000000</v>
      </c>
      <c r="F38" s="1">
        <v>22000000</v>
      </c>
      <c r="G38" s="1">
        <v>22000000</v>
      </c>
    </row>
    <row r="39" spans="1:7" x14ac:dyDescent="0.3">
      <c r="A39" s="4" t="s">
        <v>63</v>
      </c>
      <c r="B39" s="1">
        <v>6000000</v>
      </c>
      <c r="C39" s="1">
        <v>6000000</v>
      </c>
      <c r="D39" s="1">
        <v>30000000</v>
      </c>
      <c r="E39" s="1">
        <v>74000000</v>
      </c>
      <c r="F39" s="1">
        <v>36000000</v>
      </c>
      <c r="G39" s="1">
        <v>80000000</v>
      </c>
    </row>
    <row r="40" spans="1:7" x14ac:dyDescent="0.3">
      <c r="A40" s="4" t="s">
        <v>68</v>
      </c>
      <c r="B40" s="1">
        <v>45500000</v>
      </c>
      <c r="C40" s="1">
        <v>110000000</v>
      </c>
      <c r="D40" s="1">
        <v>20000000</v>
      </c>
      <c r="E40" s="1">
        <v>24000000</v>
      </c>
      <c r="F40" s="1">
        <v>65500000</v>
      </c>
      <c r="G40" s="1">
        <v>134000000</v>
      </c>
    </row>
    <row r="41" spans="1:7" x14ac:dyDescent="0.3">
      <c r="A41" s="4" t="s">
        <v>78</v>
      </c>
      <c r="B41" s="1">
        <v>35000000</v>
      </c>
      <c r="C41" s="1">
        <v>134000000</v>
      </c>
      <c r="D41" s="1">
        <v>27500000</v>
      </c>
      <c r="E41" s="1">
        <v>27500000</v>
      </c>
      <c r="F41" s="1">
        <v>62500000</v>
      </c>
      <c r="G41" s="1">
        <v>161500000</v>
      </c>
    </row>
    <row r="42" spans="1:7" x14ac:dyDescent="0.3">
      <c r="A42" s="4" t="s">
        <v>87</v>
      </c>
      <c r="B42" s="1">
        <v>28500000</v>
      </c>
      <c r="C42" s="1">
        <v>40500000</v>
      </c>
      <c r="D42" s="1">
        <v>25000000</v>
      </c>
      <c r="E42" s="1">
        <v>160000000</v>
      </c>
      <c r="F42" s="1">
        <v>53500000</v>
      </c>
      <c r="G42" s="1">
        <v>200500000</v>
      </c>
    </row>
    <row r="43" spans="1:7" x14ac:dyDescent="0.3">
      <c r="A43" s="4" t="s">
        <v>100</v>
      </c>
      <c r="B43" s="1">
        <v>214500000</v>
      </c>
      <c r="C43" s="1">
        <v>874000000</v>
      </c>
      <c r="D43" s="1">
        <v>485000000</v>
      </c>
      <c r="E43" s="1">
        <v>1280500000</v>
      </c>
      <c r="F43" s="1">
        <v>699500000</v>
      </c>
      <c r="G43" s="1">
        <v>2154500000</v>
      </c>
    </row>
    <row r="45" spans="1:7" x14ac:dyDescent="0.3">
      <c r="B45" s="3" t="s">
        <v>101</v>
      </c>
    </row>
    <row r="46" spans="1:7" x14ac:dyDescent="0.3">
      <c r="B46" t="s">
        <v>12</v>
      </c>
      <c r="D46" t="s">
        <v>9</v>
      </c>
      <c r="F46" t="s">
        <v>108</v>
      </c>
      <c r="G46" t="s">
        <v>109</v>
      </c>
    </row>
    <row r="47" spans="1:7" x14ac:dyDescent="0.3">
      <c r="A47" s="3" t="s">
        <v>99</v>
      </c>
      <c r="B47" t="s">
        <v>107</v>
      </c>
      <c r="C47" t="s">
        <v>98</v>
      </c>
      <c r="D47" t="s">
        <v>107</v>
      </c>
      <c r="E47" t="s">
        <v>98</v>
      </c>
    </row>
    <row r="48" spans="1:7" x14ac:dyDescent="0.3">
      <c r="A48" s="4" t="s">
        <v>8</v>
      </c>
      <c r="B48" s="1">
        <v>80000000</v>
      </c>
      <c r="C48" s="1">
        <v>122000000</v>
      </c>
      <c r="D48" s="1">
        <v>9000000</v>
      </c>
      <c r="E48" s="1">
        <v>288000000</v>
      </c>
      <c r="F48" s="1">
        <v>89000000</v>
      </c>
      <c r="G48" s="1">
        <v>410000000</v>
      </c>
    </row>
    <row r="49" spans="1:9" x14ac:dyDescent="0.3">
      <c r="A49" s="4" t="s">
        <v>21</v>
      </c>
      <c r="B49" s="1">
        <v>95000000</v>
      </c>
      <c r="C49" s="1">
        <v>127500000</v>
      </c>
      <c r="D49" s="1">
        <v>6000000</v>
      </c>
      <c r="E49" s="1">
        <v>87000000</v>
      </c>
      <c r="F49" s="1">
        <v>101000000</v>
      </c>
      <c r="G49" s="1">
        <v>214500000</v>
      </c>
    </row>
    <row r="50" spans="1:9" x14ac:dyDescent="0.3">
      <c r="A50" s="4" t="s">
        <v>30</v>
      </c>
      <c r="B50" s="1">
        <v>47500000</v>
      </c>
      <c r="C50" s="1">
        <v>97500000</v>
      </c>
      <c r="D50" s="1">
        <v>6000000</v>
      </c>
      <c r="E50" s="1">
        <v>12000000</v>
      </c>
      <c r="F50" s="1">
        <v>53500000</v>
      </c>
      <c r="G50" s="1">
        <v>109500000</v>
      </c>
    </row>
    <row r="51" spans="1:9" x14ac:dyDescent="0.3">
      <c r="A51" s="4" t="s">
        <v>36</v>
      </c>
      <c r="B51" s="1">
        <v>132500000</v>
      </c>
      <c r="C51" s="1">
        <v>596500000</v>
      </c>
      <c r="D51" s="1">
        <v>15000000</v>
      </c>
      <c r="E51" s="1">
        <v>42000000</v>
      </c>
      <c r="F51" s="1">
        <v>147500000</v>
      </c>
      <c r="G51" s="1">
        <v>638500000</v>
      </c>
    </row>
    <row r="52" spans="1:9" x14ac:dyDescent="0.3">
      <c r="A52" s="4" t="s">
        <v>50</v>
      </c>
      <c r="B52" s="1">
        <v>60000000</v>
      </c>
      <c r="C52" s="1">
        <v>126000000</v>
      </c>
      <c r="D52" s="1">
        <v>9000000</v>
      </c>
      <c r="E52" s="1">
        <v>58000000</v>
      </c>
      <c r="F52" s="1">
        <v>69000000</v>
      </c>
      <c r="G52" s="1">
        <v>184000000</v>
      </c>
    </row>
    <row r="53" spans="1:9" x14ac:dyDescent="0.3">
      <c r="A53" s="4" t="s">
        <v>57</v>
      </c>
      <c r="B53" s="1">
        <v>10000000</v>
      </c>
      <c r="C53" s="1">
        <v>10000000</v>
      </c>
      <c r="D53" s="1">
        <v>12000000</v>
      </c>
      <c r="E53" s="1">
        <v>12000000</v>
      </c>
      <c r="F53" s="1">
        <v>22000000</v>
      </c>
      <c r="G53" s="1">
        <v>22000000</v>
      </c>
    </row>
    <row r="54" spans="1:9" x14ac:dyDescent="0.3">
      <c r="A54" s="4" t="s">
        <v>63</v>
      </c>
      <c r="B54" s="1">
        <v>30000000</v>
      </c>
      <c r="C54" s="1">
        <v>74000000</v>
      </c>
      <c r="D54" s="1">
        <v>6000000</v>
      </c>
      <c r="E54" s="1">
        <v>6000000</v>
      </c>
      <c r="F54" s="1">
        <v>36000000</v>
      </c>
      <c r="G54" s="1">
        <v>80000000</v>
      </c>
    </row>
    <row r="55" spans="1:9" x14ac:dyDescent="0.3">
      <c r="A55" s="4" t="s">
        <v>68</v>
      </c>
      <c r="B55" s="1">
        <v>47500000</v>
      </c>
      <c r="C55" s="1">
        <v>103500000</v>
      </c>
      <c r="D55" s="1">
        <v>18000000</v>
      </c>
      <c r="E55" s="1">
        <v>30500000</v>
      </c>
      <c r="F55" s="1">
        <v>65500000</v>
      </c>
      <c r="G55" s="1">
        <v>134000000</v>
      </c>
    </row>
    <row r="56" spans="1:9" x14ac:dyDescent="0.3">
      <c r="A56" s="4" t="s">
        <v>78</v>
      </c>
      <c r="B56" s="1">
        <v>47500000</v>
      </c>
      <c r="C56" s="1">
        <v>97500000</v>
      </c>
      <c r="D56" s="1">
        <v>15000000</v>
      </c>
      <c r="E56" s="1">
        <v>64000000</v>
      </c>
      <c r="F56" s="1">
        <v>62500000</v>
      </c>
      <c r="G56" s="1">
        <v>161500000</v>
      </c>
    </row>
    <row r="57" spans="1:9" x14ac:dyDescent="0.3">
      <c r="A57" s="4" t="s">
        <v>87</v>
      </c>
      <c r="B57" s="1">
        <v>27500000</v>
      </c>
      <c r="C57" s="1">
        <v>137500000</v>
      </c>
      <c r="D57" s="1">
        <v>26000000</v>
      </c>
      <c r="E57" s="1">
        <v>63000000</v>
      </c>
      <c r="F57" s="1">
        <v>53500000</v>
      </c>
      <c r="G57" s="1">
        <v>200500000</v>
      </c>
    </row>
    <row r="58" spans="1:9" x14ac:dyDescent="0.3">
      <c r="A58" s="4" t="s">
        <v>100</v>
      </c>
      <c r="B58" s="1">
        <v>577500000</v>
      </c>
      <c r="C58" s="1">
        <v>1492000000</v>
      </c>
      <c r="D58" s="1">
        <v>122000000</v>
      </c>
      <c r="E58" s="1">
        <v>662500000</v>
      </c>
      <c r="F58" s="1">
        <v>699500000</v>
      </c>
      <c r="G58" s="1">
        <v>2154500000</v>
      </c>
    </row>
    <row r="61" spans="1:9" x14ac:dyDescent="0.3">
      <c r="A61" s="3" t="s">
        <v>98</v>
      </c>
      <c r="B61" s="3" t="s">
        <v>101</v>
      </c>
      <c r="F61" s="3" t="s">
        <v>103</v>
      </c>
      <c r="G61" s="3" t="s">
        <v>101</v>
      </c>
    </row>
    <row r="62" spans="1:9" x14ac:dyDescent="0.3">
      <c r="A62" s="3" t="s">
        <v>99</v>
      </c>
      <c r="B62" t="s">
        <v>12</v>
      </c>
      <c r="C62" t="s">
        <v>9</v>
      </c>
      <c r="D62" t="s">
        <v>100</v>
      </c>
      <c r="F62" s="3" t="s">
        <v>99</v>
      </c>
      <c r="G62" t="s">
        <v>12</v>
      </c>
      <c r="H62" t="s">
        <v>9</v>
      </c>
      <c r="I62" t="s">
        <v>100</v>
      </c>
    </row>
    <row r="63" spans="1:9" x14ac:dyDescent="0.3">
      <c r="A63" s="4" t="s">
        <v>8</v>
      </c>
      <c r="B63" s="5">
        <v>122000000</v>
      </c>
      <c r="C63" s="5">
        <v>288000000</v>
      </c>
      <c r="D63" s="5">
        <v>410000000</v>
      </c>
      <c r="F63" s="4" t="s">
        <v>7</v>
      </c>
      <c r="G63">
        <v>9</v>
      </c>
      <c r="H63">
        <v>39</v>
      </c>
      <c r="I63">
        <v>48</v>
      </c>
    </row>
    <row r="64" spans="1:9" x14ac:dyDescent="0.3">
      <c r="A64" s="4" t="s">
        <v>21</v>
      </c>
      <c r="B64" s="5">
        <v>127500000</v>
      </c>
      <c r="C64" s="5">
        <v>87000000</v>
      </c>
      <c r="D64" s="5">
        <v>214500000</v>
      </c>
      <c r="F64" s="4" t="s">
        <v>14</v>
      </c>
      <c r="G64">
        <v>28</v>
      </c>
      <c r="H64">
        <v>1</v>
      </c>
      <c r="I64">
        <v>29</v>
      </c>
    </row>
    <row r="65" spans="1:9" x14ac:dyDescent="0.3">
      <c r="A65" s="4" t="s">
        <v>30</v>
      </c>
      <c r="B65" s="5">
        <v>97500000</v>
      </c>
      <c r="C65" s="5">
        <v>12000000</v>
      </c>
      <c r="D65" s="5">
        <v>109500000</v>
      </c>
      <c r="F65" s="4" t="s">
        <v>100</v>
      </c>
      <c r="G65">
        <v>37</v>
      </c>
      <c r="H65">
        <v>40</v>
      </c>
      <c r="I65">
        <v>77</v>
      </c>
    </row>
    <row r="66" spans="1:9" x14ac:dyDescent="0.3">
      <c r="A66" s="4" t="s">
        <v>36</v>
      </c>
      <c r="B66" s="5">
        <v>596500000</v>
      </c>
      <c r="C66" s="5">
        <v>42000000</v>
      </c>
      <c r="D66" s="5">
        <v>638500000</v>
      </c>
    </row>
    <row r="67" spans="1:9" x14ac:dyDescent="0.3">
      <c r="A67" s="4" t="s">
        <v>50</v>
      </c>
      <c r="B67" s="5">
        <v>126000000</v>
      </c>
      <c r="C67" s="5">
        <v>58000000</v>
      </c>
      <c r="D67" s="5">
        <v>184000000</v>
      </c>
    </row>
    <row r="68" spans="1:9" x14ac:dyDescent="0.3">
      <c r="A68" s="4" t="s">
        <v>57</v>
      </c>
      <c r="B68" s="5">
        <v>10000000</v>
      </c>
      <c r="C68" s="5">
        <v>12000000</v>
      </c>
      <c r="D68" s="5">
        <v>22000000</v>
      </c>
    </row>
    <row r="69" spans="1:9" x14ac:dyDescent="0.3">
      <c r="A69" s="4" t="s">
        <v>63</v>
      </c>
      <c r="B69" s="5">
        <v>74000000</v>
      </c>
      <c r="C69" s="5">
        <v>6000000</v>
      </c>
      <c r="D69" s="5">
        <v>80000000</v>
      </c>
    </row>
    <row r="70" spans="1:9" x14ac:dyDescent="0.3">
      <c r="A70" s="4" t="s">
        <v>68</v>
      </c>
      <c r="B70" s="5">
        <v>103500000</v>
      </c>
      <c r="C70" s="5">
        <v>30500000</v>
      </c>
      <c r="D70" s="5">
        <v>134000000</v>
      </c>
    </row>
    <row r="71" spans="1:9" x14ac:dyDescent="0.3">
      <c r="A71" s="4" t="s">
        <v>78</v>
      </c>
      <c r="B71" s="5">
        <v>97500000</v>
      </c>
      <c r="C71" s="5">
        <v>64000000</v>
      </c>
      <c r="D71" s="5">
        <v>161500000</v>
      </c>
    </row>
    <row r="72" spans="1:9" x14ac:dyDescent="0.3">
      <c r="A72" s="4" t="s">
        <v>87</v>
      </c>
      <c r="B72" s="5">
        <v>137500000</v>
      </c>
      <c r="C72" s="5">
        <v>63000000</v>
      </c>
      <c r="D72" s="5">
        <v>200500000</v>
      </c>
    </row>
    <row r="73" spans="1:9" x14ac:dyDescent="0.3">
      <c r="A73" s="4" t="s">
        <v>100</v>
      </c>
      <c r="B73" s="5">
        <v>1492000000</v>
      </c>
      <c r="C73" s="5">
        <v>662500000</v>
      </c>
      <c r="D73" s="5">
        <v>2154500000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C6BEE-7468-4533-90BA-A603C5D1F7AA}">
  <dimension ref="B6:AI37"/>
  <sheetViews>
    <sheetView tabSelected="1" topLeftCell="B4" zoomScale="73" zoomScaleNormal="82" workbookViewId="0">
      <selection activeCell="X9" sqref="X9"/>
    </sheetView>
  </sheetViews>
  <sheetFormatPr defaultRowHeight="14.4" x14ac:dyDescent="0.3"/>
  <sheetData>
    <row r="6" spans="2:24" x14ac:dyDescent="0.3">
      <c r="B6" s="16"/>
      <c r="C6" s="16"/>
      <c r="D6" s="16"/>
      <c r="E6" s="16"/>
      <c r="F6" s="16"/>
    </row>
    <row r="7" spans="2:24" x14ac:dyDescent="0.3">
      <c r="B7" s="16"/>
      <c r="C7" s="16"/>
      <c r="D7" s="16"/>
      <c r="E7" s="16"/>
      <c r="F7" s="16"/>
      <c r="G7" s="17" t="s">
        <v>110</v>
      </c>
      <c r="H7" s="18"/>
      <c r="I7" s="18"/>
      <c r="J7" s="19"/>
      <c r="K7" s="17" t="s">
        <v>111</v>
      </c>
      <c r="L7" s="18"/>
      <c r="M7" s="18"/>
      <c r="N7" s="18"/>
      <c r="O7" s="17" t="s">
        <v>112</v>
      </c>
      <c r="P7" s="18"/>
      <c r="Q7" s="18"/>
      <c r="R7" s="19"/>
      <c r="S7" s="17" t="s">
        <v>132</v>
      </c>
      <c r="T7" s="18"/>
      <c r="U7" s="18"/>
      <c r="V7" s="19"/>
    </row>
    <row r="8" spans="2:24" x14ac:dyDescent="0.3">
      <c r="B8" s="16"/>
      <c r="C8" s="16"/>
      <c r="D8" s="16"/>
      <c r="E8" s="16"/>
      <c r="F8" s="16"/>
      <c r="G8" s="20"/>
      <c r="H8" s="21"/>
      <c r="I8" s="21"/>
      <c r="J8" s="22"/>
      <c r="K8" s="20"/>
      <c r="L8" s="21"/>
      <c r="M8" s="21"/>
      <c r="N8" s="21"/>
      <c r="O8" s="20"/>
      <c r="P8" s="21"/>
      <c r="Q8" s="21"/>
      <c r="R8" s="22"/>
      <c r="S8" s="20"/>
      <c r="T8" s="21"/>
      <c r="U8" s="21"/>
      <c r="V8" s="22"/>
    </row>
    <row r="9" spans="2:24" x14ac:dyDescent="0.3">
      <c r="B9" s="16"/>
      <c r="C9" s="16"/>
      <c r="D9" s="16"/>
      <c r="E9" s="16"/>
      <c r="F9" s="16"/>
      <c r="G9" s="23">
        <f>COUNT('Ipl Auction 2026'!A2:A78)</f>
        <v>77</v>
      </c>
      <c r="H9" s="24"/>
      <c r="I9" s="24"/>
      <c r="J9" s="25"/>
      <c r="K9" s="23">
        <f>COUNTIF('Ipl Auction 2026'!C2:C78,"Indian")</f>
        <v>48</v>
      </c>
      <c r="L9" s="24"/>
      <c r="M9" s="24"/>
      <c r="N9" s="24"/>
      <c r="O9" s="23">
        <f>COUNTIF('Ipl Auction 2026'!C2:C78,"Overseas")</f>
        <v>29</v>
      </c>
      <c r="P9" s="24"/>
      <c r="Q9" s="24"/>
      <c r="R9" s="25"/>
      <c r="S9" s="8">
        <f>AVERAGE(SUM('Ipl Auction 2026'!E2:E78),COUNT('Ipl Auction 2026'!A2:A78))</f>
        <v>1077250038.5</v>
      </c>
      <c r="T9" s="9"/>
      <c r="U9" s="9"/>
      <c r="V9" s="10"/>
    </row>
    <row r="10" spans="2:24" x14ac:dyDescent="0.3">
      <c r="B10" s="16"/>
      <c r="C10" s="16"/>
      <c r="D10" s="16"/>
      <c r="E10" s="16"/>
      <c r="F10" s="16"/>
      <c r="G10" s="26"/>
      <c r="H10" s="27"/>
      <c r="I10" s="27"/>
      <c r="J10" s="28"/>
      <c r="K10" s="26"/>
      <c r="L10" s="27"/>
      <c r="M10" s="27"/>
      <c r="N10" s="27"/>
      <c r="O10" s="26"/>
      <c r="P10" s="27"/>
      <c r="Q10" s="27"/>
      <c r="R10" s="28"/>
      <c r="S10" s="11"/>
      <c r="T10" s="12"/>
      <c r="U10" s="12"/>
      <c r="V10" s="13"/>
    </row>
    <row r="11" spans="2:24" ht="18" x14ac:dyDescent="0.3">
      <c r="B11" s="16"/>
      <c r="C11" s="16"/>
      <c r="D11" s="16"/>
      <c r="E11" s="16"/>
      <c r="F11" s="16"/>
      <c r="G11" s="6"/>
      <c r="H11" s="6"/>
      <c r="I11" s="6"/>
      <c r="J11" s="6"/>
      <c r="K11" s="6"/>
      <c r="L11" s="6"/>
      <c r="M11" s="6"/>
      <c r="N11" s="6"/>
      <c r="O11" s="6"/>
      <c r="P11" s="6"/>
      <c r="Q11" s="6"/>
      <c r="R11" s="6"/>
      <c r="S11" s="7"/>
    </row>
    <row r="12" spans="2:24" x14ac:dyDescent="0.3">
      <c r="B12" s="16"/>
      <c r="C12" s="16"/>
      <c r="D12" s="16"/>
      <c r="E12" s="16"/>
      <c r="F12" s="16"/>
      <c r="G12" s="17" t="s">
        <v>121</v>
      </c>
      <c r="H12" s="18"/>
      <c r="I12" s="18"/>
      <c r="J12" s="19"/>
      <c r="K12" s="18" t="s">
        <v>113</v>
      </c>
      <c r="L12" s="18"/>
      <c r="M12" s="18"/>
      <c r="N12" s="18"/>
      <c r="O12" s="17" t="s">
        <v>114</v>
      </c>
      <c r="P12" s="18"/>
      <c r="Q12" s="18"/>
      <c r="R12" s="19"/>
    </row>
    <row r="13" spans="2:24" x14ac:dyDescent="0.3">
      <c r="B13" s="16"/>
      <c r="C13" s="16"/>
      <c r="D13" s="16"/>
      <c r="E13" s="16"/>
      <c r="F13" s="16"/>
      <c r="G13" s="20"/>
      <c r="H13" s="21"/>
      <c r="I13" s="21"/>
      <c r="J13" s="22"/>
      <c r="K13" s="21"/>
      <c r="L13" s="21"/>
      <c r="M13" s="21"/>
      <c r="N13" s="21"/>
      <c r="O13" s="20"/>
      <c r="P13" s="21"/>
      <c r="Q13" s="21"/>
      <c r="R13" s="22"/>
    </row>
    <row r="14" spans="2:24" x14ac:dyDescent="0.3">
      <c r="B14" s="16"/>
      <c r="C14" s="16"/>
      <c r="D14" s="16"/>
      <c r="E14" s="16"/>
      <c r="F14" s="16"/>
      <c r="G14" s="8">
        <f>SUM('Ipl Auction 2026'!E2:E78)</f>
        <v>2154500000</v>
      </c>
      <c r="H14" s="9"/>
      <c r="I14" s="9"/>
      <c r="J14" s="10"/>
      <c r="K14" s="9">
        <f>SUMIF('Ipl Auction 2026'!C2:C78,"Indian",'Ipl Auction 2026'!E2:E78)</f>
        <v>874000000</v>
      </c>
      <c r="L14" s="9"/>
      <c r="M14" s="9"/>
      <c r="N14" s="9"/>
      <c r="O14" s="8">
        <f>SUMIF('Ipl Auction 2026'!C2:C78,"Overseas",'Ipl Auction 2026'!E2:E78)</f>
        <v>1280500000</v>
      </c>
      <c r="P14" s="9"/>
      <c r="Q14" s="9"/>
      <c r="R14" s="10"/>
    </row>
    <row r="15" spans="2:24" x14ac:dyDescent="0.3">
      <c r="B15" s="16"/>
      <c r="C15" s="16"/>
      <c r="D15" s="16"/>
      <c r="E15" s="16"/>
      <c r="F15" s="16"/>
      <c r="G15" s="11"/>
      <c r="H15" s="12"/>
      <c r="I15" s="12"/>
      <c r="J15" s="13"/>
      <c r="K15" s="12"/>
      <c r="L15" s="12"/>
      <c r="M15" s="12"/>
      <c r="N15" s="12"/>
      <c r="O15" s="11"/>
      <c r="P15" s="12"/>
      <c r="Q15" s="12"/>
      <c r="R15" s="13"/>
      <c r="W15" s="14" t="s">
        <v>119</v>
      </c>
      <c r="X15" s="15"/>
    </row>
    <row r="16" spans="2:24" x14ac:dyDescent="0.3">
      <c r="B16" s="16"/>
      <c r="C16" s="16"/>
      <c r="D16" s="16"/>
      <c r="E16" s="16"/>
      <c r="F16" s="16"/>
      <c r="W16" s="15"/>
      <c r="X16" s="15"/>
    </row>
    <row r="17" spans="2:35" x14ac:dyDescent="0.3">
      <c r="B17" s="16"/>
      <c r="C17" s="16"/>
      <c r="D17" s="16"/>
      <c r="E17" s="16"/>
      <c r="F17" s="16"/>
    </row>
    <row r="18" spans="2:35" ht="14.4" customHeight="1" x14ac:dyDescent="0.3">
      <c r="B18" s="16"/>
      <c r="C18" s="16"/>
      <c r="D18" s="16"/>
      <c r="E18" s="16"/>
      <c r="F18" s="16"/>
      <c r="X18" s="29" t="s">
        <v>122</v>
      </c>
      <c r="Y18" s="30"/>
      <c r="Z18" s="30"/>
      <c r="AA18" s="30"/>
      <c r="AB18" s="30"/>
      <c r="AC18" s="30"/>
      <c r="AD18" s="30"/>
      <c r="AE18" s="30"/>
      <c r="AF18" s="30"/>
      <c r="AG18" s="30"/>
      <c r="AH18" s="30"/>
      <c r="AI18" s="30"/>
    </row>
    <row r="19" spans="2:35" ht="14.4" customHeight="1" x14ac:dyDescent="0.3">
      <c r="B19" s="16"/>
      <c r="C19" s="16"/>
      <c r="D19" s="16"/>
      <c r="E19" s="16"/>
      <c r="F19" s="16"/>
      <c r="X19" s="29"/>
      <c r="Y19" s="30"/>
      <c r="Z19" s="30"/>
      <c r="AA19" s="30"/>
      <c r="AB19" s="30"/>
      <c r="AC19" s="30"/>
      <c r="AD19" s="30"/>
      <c r="AE19" s="30"/>
      <c r="AF19" s="30"/>
      <c r="AG19" s="30"/>
      <c r="AH19" s="30"/>
      <c r="AI19" s="30"/>
    </row>
    <row r="20" spans="2:35" ht="14.4" customHeight="1" x14ac:dyDescent="0.3">
      <c r="X20" s="29" t="s">
        <v>123</v>
      </c>
      <c r="Y20" s="30"/>
      <c r="Z20" s="30"/>
      <c r="AA20" s="30"/>
      <c r="AB20" s="30"/>
      <c r="AC20" s="30"/>
      <c r="AD20" s="30"/>
      <c r="AE20" s="30"/>
      <c r="AF20" s="30"/>
      <c r="AG20" s="30"/>
      <c r="AH20" s="30"/>
      <c r="AI20" s="30"/>
    </row>
    <row r="21" spans="2:35" ht="14.4" customHeight="1" x14ac:dyDescent="0.3">
      <c r="X21" s="29"/>
      <c r="Y21" s="30"/>
      <c r="Z21" s="30"/>
      <c r="AA21" s="30"/>
      <c r="AB21" s="30"/>
      <c r="AC21" s="30"/>
      <c r="AD21" s="30"/>
      <c r="AE21" s="30"/>
      <c r="AF21" s="30"/>
      <c r="AG21" s="30"/>
      <c r="AH21" s="30"/>
      <c r="AI21" s="30"/>
    </row>
    <row r="22" spans="2:35" ht="14.4" customHeight="1" x14ac:dyDescent="0.3">
      <c r="X22" s="29" t="s">
        <v>124</v>
      </c>
      <c r="Y22" s="30"/>
      <c r="Z22" s="30"/>
      <c r="AA22" s="30"/>
      <c r="AB22" s="30"/>
      <c r="AC22" s="30"/>
      <c r="AD22" s="30"/>
      <c r="AE22" s="30"/>
      <c r="AF22" s="30"/>
      <c r="AG22" s="30"/>
      <c r="AH22" s="30"/>
      <c r="AI22" s="30"/>
    </row>
    <row r="23" spans="2:35" ht="14.4" customHeight="1" x14ac:dyDescent="0.3">
      <c r="X23" s="29"/>
      <c r="Y23" s="30"/>
      <c r="Z23" s="30"/>
      <c r="AA23" s="30"/>
      <c r="AB23" s="30"/>
      <c r="AC23" s="30"/>
      <c r="AD23" s="30"/>
      <c r="AE23" s="30"/>
      <c r="AF23" s="30"/>
      <c r="AG23" s="30"/>
      <c r="AH23" s="30"/>
      <c r="AI23" s="30"/>
    </row>
    <row r="24" spans="2:35" ht="14.4" customHeight="1" x14ac:dyDescent="0.3">
      <c r="W24" t="s">
        <v>120</v>
      </c>
      <c r="X24" s="29" t="s">
        <v>125</v>
      </c>
      <c r="Y24" s="30"/>
      <c r="Z24" s="30"/>
      <c r="AA24" s="30"/>
      <c r="AB24" s="30"/>
      <c r="AC24" s="30"/>
      <c r="AD24" s="30"/>
      <c r="AE24" s="30"/>
      <c r="AF24" s="30"/>
      <c r="AG24" s="30"/>
      <c r="AH24" s="30"/>
      <c r="AI24" s="30"/>
    </row>
    <row r="25" spans="2:35" ht="14.4" customHeight="1" x14ac:dyDescent="0.3">
      <c r="X25" s="29"/>
      <c r="Y25" s="30"/>
      <c r="Z25" s="30"/>
      <c r="AA25" s="30"/>
      <c r="AB25" s="30"/>
      <c r="AC25" s="30"/>
      <c r="AD25" s="30"/>
      <c r="AE25" s="30"/>
      <c r="AF25" s="30"/>
      <c r="AG25" s="30"/>
      <c r="AH25" s="30"/>
      <c r="AI25" s="30"/>
    </row>
    <row r="26" spans="2:35" ht="14.4" customHeight="1" x14ac:dyDescent="0.3">
      <c r="X26" s="29" t="s">
        <v>126</v>
      </c>
      <c r="Y26" s="30"/>
      <c r="Z26" s="30"/>
      <c r="AA26" s="30"/>
      <c r="AB26" s="30"/>
      <c r="AC26" s="30"/>
      <c r="AD26" s="30"/>
      <c r="AE26" s="30"/>
      <c r="AF26" s="30"/>
      <c r="AG26" s="30"/>
      <c r="AH26" s="30"/>
      <c r="AI26" s="30"/>
    </row>
    <row r="27" spans="2:35" ht="14.4" customHeight="1" x14ac:dyDescent="0.3">
      <c r="X27" s="29"/>
      <c r="Y27" s="30"/>
      <c r="Z27" s="30"/>
      <c r="AA27" s="30"/>
      <c r="AB27" s="30"/>
      <c r="AC27" s="30"/>
      <c r="AD27" s="30"/>
      <c r="AE27" s="30"/>
      <c r="AF27" s="30"/>
      <c r="AG27" s="30"/>
      <c r="AH27" s="30"/>
      <c r="AI27" s="30"/>
    </row>
    <row r="28" spans="2:35" ht="14.4" customHeight="1" x14ac:dyDescent="0.3">
      <c r="X28" s="29" t="s">
        <v>127</v>
      </c>
      <c r="Y28" s="30"/>
      <c r="Z28" s="30"/>
      <c r="AA28" s="30"/>
      <c r="AB28" s="30"/>
      <c r="AC28" s="30"/>
      <c r="AD28" s="30"/>
      <c r="AE28" s="30"/>
      <c r="AF28" s="30"/>
      <c r="AG28" s="30"/>
      <c r="AH28" s="30"/>
      <c r="AI28" s="30"/>
    </row>
    <row r="29" spans="2:35" ht="14.4" customHeight="1" x14ac:dyDescent="0.3">
      <c r="X29" s="29"/>
      <c r="Y29" s="30"/>
      <c r="Z29" s="30"/>
      <c r="AA29" s="30"/>
      <c r="AB29" s="30"/>
      <c r="AC29" s="30"/>
      <c r="AD29" s="30"/>
      <c r="AE29" s="30"/>
      <c r="AF29" s="30"/>
      <c r="AG29" s="30"/>
      <c r="AH29" s="30"/>
      <c r="AI29" s="30"/>
    </row>
    <row r="30" spans="2:35" ht="14.4" customHeight="1" x14ac:dyDescent="0.3">
      <c r="X30" s="29" t="s">
        <v>128</v>
      </c>
      <c r="Y30" s="30"/>
      <c r="Z30" s="30"/>
      <c r="AA30" s="30"/>
      <c r="AB30" s="30"/>
      <c r="AC30" s="30"/>
      <c r="AD30" s="30"/>
      <c r="AE30" s="30"/>
      <c r="AF30" s="30"/>
      <c r="AG30" s="30"/>
      <c r="AH30" s="30"/>
      <c r="AI30" s="30"/>
    </row>
    <row r="31" spans="2:35" ht="14.4" customHeight="1" x14ac:dyDescent="0.3">
      <c r="X31" s="29"/>
      <c r="Y31" s="30"/>
      <c r="Z31" s="30"/>
      <c r="AA31" s="30"/>
      <c r="AB31" s="30"/>
      <c r="AC31" s="30"/>
      <c r="AD31" s="30"/>
      <c r="AE31" s="30"/>
      <c r="AF31" s="30"/>
      <c r="AG31" s="30"/>
      <c r="AH31" s="30"/>
      <c r="AI31" s="30"/>
    </row>
    <row r="32" spans="2:35" ht="14.4" customHeight="1" x14ac:dyDescent="0.3">
      <c r="X32" s="29" t="s">
        <v>129</v>
      </c>
      <c r="Y32" s="30"/>
      <c r="Z32" s="30"/>
      <c r="AA32" s="30"/>
      <c r="AB32" s="30"/>
      <c r="AC32" s="30"/>
      <c r="AD32" s="30"/>
      <c r="AE32" s="30"/>
      <c r="AF32" s="30"/>
      <c r="AG32" s="30"/>
      <c r="AH32" s="30"/>
      <c r="AI32" s="30"/>
    </row>
    <row r="33" spans="24:35" ht="14.4" customHeight="1" x14ac:dyDescent="0.3">
      <c r="X33" s="29"/>
      <c r="Y33" s="30"/>
      <c r="Z33" s="30"/>
      <c r="AA33" s="30"/>
      <c r="AB33" s="30"/>
      <c r="AC33" s="30"/>
      <c r="AD33" s="30"/>
      <c r="AE33" s="30"/>
      <c r="AF33" s="30"/>
      <c r="AG33" s="30"/>
      <c r="AH33" s="30"/>
      <c r="AI33" s="30"/>
    </row>
    <row r="34" spans="24:35" ht="14.4" customHeight="1" x14ac:dyDescent="0.3">
      <c r="X34" s="29" t="s">
        <v>130</v>
      </c>
      <c r="Y34" s="30"/>
      <c r="Z34" s="30"/>
      <c r="AA34" s="30"/>
      <c r="AB34" s="30"/>
      <c r="AC34" s="30"/>
      <c r="AD34" s="30"/>
      <c r="AE34" s="30"/>
      <c r="AF34" s="30"/>
      <c r="AG34" s="30"/>
      <c r="AH34" s="30"/>
      <c r="AI34" s="30"/>
    </row>
    <row r="35" spans="24:35" ht="14.4" customHeight="1" x14ac:dyDescent="0.3">
      <c r="X35" s="29"/>
      <c r="Y35" s="30"/>
      <c r="Z35" s="30"/>
      <c r="AA35" s="30"/>
      <c r="AB35" s="30"/>
      <c r="AC35" s="30"/>
      <c r="AD35" s="30"/>
      <c r="AE35" s="30"/>
      <c r="AF35" s="30"/>
      <c r="AG35" s="30"/>
      <c r="AH35" s="30"/>
      <c r="AI35" s="30"/>
    </row>
    <row r="36" spans="24:35" ht="14.4" customHeight="1" x14ac:dyDescent="0.3">
      <c r="X36" s="31" t="s">
        <v>131</v>
      </c>
      <c r="Y36" s="32"/>
      <c r="Z36" s="32"/>
      <c r="AA36" s="32"/>
      <c r="AB36" s="32"/>
      <c r="AC36" s="32"/>
      <c r="AD36" s="32"/>
      <c r="AE36" s="32"/>
      <c r="AF36" s="32"/>
      <c r="AG36" s="32"/>
      <c r="AH36" s="32"/>
      <c r="AI36" s="32"/>
    </row>
    <row r="37" spans="24:35" ht="14.4" customHeight="1" x14ac:dyDescent="0.3">
      <c r="X37" s="31"/>
      <c r="Y37" s="32"/>
      <c r="Z37" s="32"/>
      <c r="AA37" s="32"/>
      <c r="AB37" s="32"/>
      <c r="AC37" s="32"/>
      <c r="AD37" s="32"/>
      <c r="AE37" s="32"/>
      <c r="AF37" s="32"/>
      <c r="AG37" s="32"/>
      <c r="AH37" s="32"/>
      <c r="AI37" s="32"/>
    </row>
  </sheetData>
  <mergeCells count="26">
    <mergeCell ref="S7:V8"/>
    <mergeCell ref="S9:V10"/>
    <mergeCell ref="X24:AI25"/>
    <mergeCell ref="X36:AI37"/>
    <mergeCell ref="X34:AI35"/>
    <mergeCell ref="X32:AI33"/>
    <mergeCell ref="X30:AI31"/>
    <mergeCell ref="X26:AI27"/>
    <mergeCell ref="X28:AI29"/>
    <mergeCell ref="B6:F19"/>
    <mergeCell ref="G7:J8"/>
    <mergeCell ref="K7:N8"/>
    <mergeCell ref="O7:R8"/>
    <mergeCell ref="G9:J10"/>
    <mergeCell ref="K9:N10"/>
    <mergeCell ref="O9:R10"/>
    <mergeCell ref="G12:J13"/>
    <mergeCell ref="K12:N13"/>
    <mergeCell ref="O12:R13"/>
    <mergeCell ref="G14:J15"/>
    <mergeCell ref="K14:N15"/>
    <mergeCell ref="O14:R15"/>
    <mergeCell ref="W15:X16"/>
    <mergeCell ref="X18:AI19"/>
    <mergeCell ref="X20:AI21"/>
    <mergeCell ref="X22:AI2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Ipl Auction 2026</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rakesh goud</dc:creator>
  <cp:lastModifiedBy>rakesh g</cp:lastModifiedBy>
  <dcterms:created xsi:type="dcterms:W3CDTF">2026-04-08T03:41:16Z</dcterms:created>
  <dcterms:modified xsi:type="dcterms:W3CDTF">2026-04-12T05:24:13Z</dcterms:modified>
</cp:coreProperties>
</file>